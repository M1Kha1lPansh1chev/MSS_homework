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Dude 21\Desktop\УчЁба\МСС\"/>
    </mc:Choice>
  </mc:AlternateContent>
  <xr:revisionPtr revIDLastSave="0" documentId="13_ncr:1_{7DE38909-40EE-4509-960C-8CCB83C3A87D}" xr6:coauthVersionLast="37" xr6:coauthVersionMax="37" xr10:uidLastSave="{00000000-0000-0000-0000-000000000000}"/>
  <bookViews>
    <workbookView xWindow="0" yWindow="0" windowWidth="23040" windowHeight="9060" activeTab="2" xr2:uid="{76475AEC-F8D6-4668-943C-A83C946F8CA6}"/>
  </bookViews>
  <sheets>
    <sheet name="ГУ 1" sheetId="2" r:id="rId1"/>
    <sheet name="ГУ 2" sheetId="1" r:id="rId2"/>
    <sheet name="ГУ 3" sheetId="3" r:id="rId3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3" l="1"/>
  <c r="F13" i="3"/>
  <c r="AJ13" i="3" l="1"/>
  <c r="C4" i="3" l="1"/>
  <c r="F13" i="2"/>
  <c r="C5" i="3" l="1"/>
  <c r="G12" i="3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AG15" i="3" l="1"/>
  <c r="Y15" i="3"/>
  <c r="Q15" i="3"/>
  <c r="I15" i="3"/>
  <c r="P15" i="3"/>
  <c r="AC15" i="3"/>
  <c r="AB15" i="3"/>
  <c r="Z15" i="3"/>
  <c r="J15" i="3"/>
  <c r="AF15" i="3"/>
  <c r="X15" i="3"/>
  <c r="H15" i="3"/>
  <c r="AA15" i="3"/>
  <c r="AE15" i="3"/>
  <c r="W15" i="3"/>
  <c r="O15" i="3"/>
  <c r="M15" i="3"/>
  <c r="L15" i="3"/>
  <c r="AH15" i="3"/>
  <c r="R15" i="3"/>
  <c r="AD15" i="3"/>
  <c r="V15" i="3"/>
  <c r="N15" i="3"/>
  <c r="AI15" i="3"/>
  <c r="S15" i="3"/>
  <c r="K15" i="3"/>
  <c r="U15" i="3"/>
  <c r="T15" i="3"/>
  <c r="AJ13" i="2" l="1"/>
  <c r="C4" i="2"/>
  <c r="G12" i="2" l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F13" i="1"/>
  <c r="G16" i="1" s="1"/>
  <c r="F16" i="1"/>
  <c r="AE15" i="2" l="1"/>
  <c r="W15" i="2"/>
  <c r="O15" i="2"/>
  <c r="G15" i="2"/>
  <c r="AD15" i="2"/>
  <c r="V15" i="2"/>
  <c r="N15" i="2"/>
  <c r="AB15" i="2"/>
  <c r="T15" i="2"/>
  <c r="L15" i="2"/>
  <c r="S15" i="2"/>
  <c r="AF15" i="2"/>
  <c r="P15" i="2"/>
  <c r="AC15" i="2"/>
  <c r="U15" i="2"/>
  <c r="M15" i="2"/>
  <c r="AI15" i="2"/>
  <c r="AA15" i="2"/>
  <c r="K15" i="2"/>
  <c r="AH15" i="2"/>
  <c r="Z15" i="2"/>
  <c r="R15" i="2"/>
  <c r="J15" i="2"/>
  <c r="AG15" i="2"/>
  <c r="Y15" i="2"/>
  <c r="Q15" i="2"/>
  <c r="I15" i="2"/>
  <c r="X15" i="2"/>
  <c r="H15" i="2"/>
  <c r="H15" i="1"/>
  <c r="N15" i="1"/>
  <c r="O15" i="1"/>
  <c r="P15" i="1"/>
  <c r="V15" i="1"/>
  <c r="W15" i="1"/>
  <c r="X15" i="1"/>
  <c r="AD15" i="1"/>
  <c r="AE15" i="1"/>
  <c r="AF15" i="1"/>
  <c r="AG15" i="1"/>
  <c r="C5" i="1"/>
  <c r="I15" i="1" s="1"/>
  <c r="AJ13" i="1"/>
  <c r="H12" i="1"/>
  <c r="I12" i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  <c r="AC15" i="1" l="1"/>
  <c r="U15" i="1"/>
  <c r="M15" i="1"/>
  <c r="G15" i="1"/>
  <c r="AB15" i="1"/>
  <c r="T15" i="1"/>
  <c r="L15" i="1"/>
  <c r="AI15" i="1"/>
  <c r="AA15" i="1"/>
  <c r="S15" i="1"/>
  <c r="K15" i="1"/>
  <c r="AH15" i="1"/>
  <c r="Z15" i="1"/>
  <c r="R15" i="1"/>
  <c r="J15" i="1"/>
  <c r="Y15" i="1"/>
  <c r="Q15" i="1"/>
</calcChain>
</file>

<file path=xl/sharedStrings.xml><?xml version="1.0" encoding="utf-8"?>
<sst xmlns="http://schemas.openxmlformats.org/spreadsheetml/2006/main" count="38" uniqueCount="15">
  <si>
    <t>L</t>
  </si>
  <si>
    <t>dx</t>
  </si>
  <si>
    <t>dt</t>
  </si>
  <si>
    <t>t</t>
  </si>
  <si>
    <t>Cp</t>
  </si>
  <si>
    <t>ro</t>
  </si>
  <si>
    <t>lamda</t>
  </si>
  <si>
    <t>T</t>
  </si>
  <si>
    <t>T_end</t>
  </si>
  <si>
    <t>T_iter</t>
  </si>
  <si>
    <t>q</t>
  </si>
  <si>
    <t>q_start</t>
  </si>
  <si>
    <t>T_start</t>
  </si>
  <si>
    <t>T_gas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</si>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</sst>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5624248898385"/>
          <c:y val="6.3935118110236222E-2"/>
          <c:w val="0.83195900668513323"/>
          <c:h val="0.80506639565784566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1'!$F$12:$AJ$12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269.23577580095974</c:v>
                </c:pt>
                <c:pt idx="2">
                  <c:v>239.46949687021586</c:v>
                </c:pt>
                <c:pt idx="3">
                  <c:v>209.70321793947198</c:v>
                </c:pt>
                <c:pt idx="4">
                  <c:v>182.74843855570356</c:v>
                </c:pt>
                <c:pt idx="5">
                  <c:v>155.79365917193513</c:v>
                </c:pt>
                <c:pt idx="6">
                  <c:v>132.9744145991873</c:v>
                </c:pt>
                <c:pt idx="7">
                  <c:v>110.15517002643944</c:v>
                </c:pt>
                <c:pt idx="8">
                  <c:v>92.147582017584355</c:v>
                </c:pt>
                <c:pt idx="9">
                  <c:v>74.139994008729275</c:v>
                </c:pt>
                <c:pt idx="10">
                  <c:v>60.994745747338115</c:v>
                </c:pt>
                <c:pt idx="11">
                  <c:v>47.849497485946962</c:v>
                </c:pt>
                <c:pt idx="12">
                  <c:v>39.160902322446915</c:v>
                </c:pt>
                <c:pt idx="13">
                  <c:v>30.472307158946879</c:v>
                </c:pt>
                <c:pt idx="14">
                  <c:v>25.614932611819363</c:v>
                </c:pt>
                <c:pt idx="15">
                  <c:v>20.757558064691843</c:v>
                </c:pt>
                <c:pt idx="16">
                  <c:v>19.102847380488598</c:v>
                </c:pt>
                <c:pt idx="17">
                  <c:v>17.448136696285349</c:v>
                </c:pt>
                <c:pt idx="18">
                  <c:v>18.497552979911937</c:v>
                </c:pt>
                <c:pt idx="19">
                  <c:v>19.546969263538521</c:v>
                </c:pt>
                <c:pt idx="20">
                  <c:v>22.959142436048275</c:v>
                </c:pt>
                <c:pt idx="21">
                  <c:v>26.371315608558028</c:v>
                </c:pt>
                <c:pt idx="22">
                  <c:v>31.900810162646764</c:v>
                </c:pt>
                <c:pt idx="23">
                  <c:v>37.430304716735499</c:v>
                </c:pt>
                <c:pt idx="24">
                  <c:v>44.822439840411008</c:v>
                </c:pt>
                <c:pt idx="25">
                  <c:v>52.214574964086516</c:v>
                </c:pt>
                <c:pt idx="26">
                  <c:v>61.108743343249003</c:v>
                </c:pt>
                <c:pt idx="27">
                  <c:v>70.002911722411497</c:v>
                </c:pt>
                <c:pt idx="28">
                  <c:v>79.886388766073139</c:v>
                </c:pt>
                <c:pt idx="29">
                  <c:v>89.769865809734796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F1-40AF-9178-3CCF41ECE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5383759"/>
        <c:axId val="690142159"/>
      </c:scatterChart>
      <c:valAx>
        <c:axId val="1055383759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/>
                  <a:t>L(m)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0142159"/>
        <c:crosses val="autoZero"/>
        <c:crossBetween val="midCat"/>
      </c:valAx>
      <c:valAx>
        <c:axId val="69014215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/>
                  <a:t>T(`C)</a:t>
                </a:r>
              </a:p>
            </c:rich>
          </c:tx>
          <c:layout>
            <c:manualLayout>
              <c:xMode val="edge"/>
              <c:yMode val="edge"/>
              <c:x val="0"/>
              <c:y val="0.42024142538564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55383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2'!$F$12:$AI$12</c:f>
              <c:numCache>
                <c:formatCode>0.000</c:formatCode>
                <c:ptCount val="30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</c:numCache>
            </c:numRef>
          </c:xVal>
          <c:yVal>
            <c:numRef>
              <c:f>'ГУ 2'!$F$13:$AI$13</c:f>
              <c:numCache>
                <c:formatCode>General</c:formatCode>
                <c:ptCount val="30"/>
                <c:pt idx="0">
                  <c:v>299.76152995395427</c:v>
                </c:pt>
                <c:pt idx="1">
                  <c:v>293.09486328728758</c:v>
                </c:pt>
                <c:pt idx="2">
                  <c:v>286.42887258987537</c:v>
                </c:pt>
                <c:pt idx="3">
                  <c:v>279.76355594560931</c:v>
                </c:pt>
                <c:pt idx="4">
                  <c:v>273.09890952770422</c:v>
                </c:pt>
                <c:pt idx="5">
                  <c:v>266.43492760954553</c:v>
                </c:pt>
                <c:pt idx="6">
                  <c:v>259.77160258092186</c:v>
                </c:pt>
                <c:pt idx="7">
                  <c:v>253.1089249695971</c:v>
                </c:pt>
                <c:pt idx="8">
                  <c:v>246.44688346816059</c:v>
                </c:pt>
                <c:pt idx="9">
                  <c:v>239.78546496607885</c:v>
                </c:pt>
                <c:pt idx="10">
                  <c:v>233.12465458685932</c:v>
                </c:pt>
                <c:pt idx="11">
                  <c:v>226.46443573021875</c:v>
                </c:pt>
                <c:pt idx="12">
                  <c:v>219.80479011913943</c:v>
                </c:pt>
                <c:pt idx="13">
                  <c:v>213.14569785167603</c:v>
                </c:pt>
                <c:pt idx="14">
                  <c:v>206.4871374573716</c:v>
                </c:pt>
                <c:pt idx="15">
                  <c:v>199.82908595811583</c:v>
                </c:pt>
                <c:pt idx="16">
                  <c:v>193.17151893328128</c:v>
                </c:pt>
                <c:pt idx="17">
                  <c:v>186.51441058894395</c:v>
                </c:pt>
                <c:pt idx="18">
                  <c:v>179.85773383100135</c:v>
                </c:pt>
                <c:pt idx="19">
                  <c:v>173.20146034197114</c:v>
                </c:pt>
                <c:pt idx="20">
                  <c:v>166.54556066126284</c:v>
                </c:pt>
                <c:pt idx="21">
                  <c:v>159.89000426868424</c:v>
                </c:pt>
                <c:pt idx="22">
                  <c:v>153.23475967095703</c:v>
                </c:pt>
                <c:pt idx="23">
                  <c:v>146.57979449098519</c:v>
                </c:pt>
                <c:pt idx="24">
                  <c:v>139.925075559634</c:v>
                </c:pt>
                <c:pt idx="25">
                  <c:v>133.27056900974901</c:v>
                </c:pt>
                <c:pt idx="26">
                  <c:v>126.61624037215859</c:v>
                </c:pt>
                <c:pt idx="27">
                  <c:v>119.96205467337839</c:v>
                </c:pt>
                <c:pt idx="28">
                  <c:v>113.30797653474929</c:v>
                </c:pt>
                <c:pt idx="29">
                  <c:v>106.65397027272058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52-4FED-90BE-FB962D64E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158768"/>
        <c:axId val="844483488"/>
      </c:scatterChart>
      <c:valAx>
        <c:axId val="72015876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44483488"/>
        <c:crosses val="autoZero"/>
        <c:crossBetween val="midCat"/>
      </c:valAx>
      <c:valAx>
        <c:axId val="844483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015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894111026629037"/>
          <c:y val="2.9854840392657341E-2"/>
          <c:w val="0.69209140387729762"/>
          <c:h val="0.76266544663568425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3'!$F$12:$AJ$12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3'!$F$13:$AJ$13</c:f>
              <c:numCache>
                <c:formatCode>General</c:formatCode>
                <c:ptCount val="31"/>
                <c:pt idx="0">
                  <c:v>94.110310360253365</c:v>
                </c:pt>
                <c:pt idx="1">
                  <c:v>93.853605877540218</c:v>
                </c:pt>
                <c:pt idx="2">
                  <c:v>93.619310397677751</c:v>
                </c:pt>
                <c:pt idx="3">
                  <c:v>93.364439298578233</c:v>
                </c:pt>
                <c:pt idx="4">
                  <c:v>93.161792787257099</c:v>
                </c:pt>
                <c:pt idx="5">
                  <c:v>92.929049688635956</c:v>
                </c:pt>
                <c:pt idx="6">
                  <c:v>92.776141537748032</c:v>
                </c:pt>
                <c:pt idx="7">
                  <c:v>92.584803147811101</c:v>
                </c:pt>
                <c:pt idx="8">
                  <c:v>92.497531802062781</c:v>
                </c:pt>
                <c:pt idx="9">
                  <c:v>92.365000123076456</c:v>
                </c:pt>
                <c:pt idx="10">
                  <c:v>92.356359496832255</c:v>
                </c:pt>
                <c:pt idx="11">
                  <c:v>92.297389796601962</c:v>
                </c:pt>
                <c:pt idx="12">
                  <c:v>92.376884289739664</c:v>
                </c:pt>
                <c:pt idx="13">
                  <c:v>92.402932113713803</c:v>
                </c:pt>
                <c:pt idx="14">
                  <c:v>92.576146535858229</c:v>
                </c:pt>
                <c:pt idx="15">
                  <c:v>92.694862681249816</c:v>
                </c:pt>
                <c:pt idx="16">
                  <c:v>92.96320651618224</c:v>
                </c:pt>
                <c:pt idx="17">
                  <c:v>93.178102256141017</c:v>
                </c:pt>
                <c:pt idx="18">
                  <c:v>93.538739944580271</c:v>
                </c:pt>
                <c:pt idx="19">
                  <c:v>93.849037171647566</c:v>
                </c:pt>
                <c:pt idx="20">
                  <c:v>94.295007805430288</c:v>
                </c:pt>
                <c:pt idx="21">
                  <c:v>94.695680500495882</c:v>
                </c:pt>
                <c:pt idx="22">
                  <c:v>95.216201872971368</c:v>
                </c:pt>
                <c:pt idx="23">
                  <c:v>95.69820676840169</c:v>
                </c:pt>
                <c:pt idx="24">
                  <c:v>96.279150490878209</c:v>
                </c:pt>
                <c:pt idx="25">
                  <c:v>96.829836365906701</c:v>
                </c:pt>
                <c:pt idx="26">
                  <c:v>97.454353105601356</c:v>
                </c:pt>
                <c:pt idx="27">
                  <c:v>98.05803020467394</c:v>
                </c:pt>
                <c:pt idx="28">
                  <c:v>98.70729736795802</c:v>
                </c:pt>
                <c:pt idx="29">
                  <c:v>99.345941322545443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6C-456E-8093-884AC16DB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940415"/>
        <c:axId val="1245475327"/>
      </c:scatterChart>
      <c:valAx>
        <c:axId val="1349940415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0" i="0" u="none" strike="noStrike" baseline="0">
                    <a:effectLst/>
                  </a:rPr>
                  <a:t>L(m)</a:t>
                </a:r>
                <a:endParaRPr lang="ru-RU" sz="2000"/>
              </a:p>
            </c:rich>
          </c:tx>
          <c:layout>
            <c:manualLayout>
              <c:xMode val="edge"/>
              <c:yMode val="edge"/>
              <c:x val="0.53427344699752133"/>
              <c:y val="0.91796816466164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45475327"/>
        <c:crosses val="autoZero"/>
        <c:crossBetween val="midCat"/>
      </c:valAx>
      <c:valAx>
        <c:axId val="1245475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0" i="0" baseline="0">
                    <a:effectLst/>
                  </a:rPr>
                  <a:t>T(`C)</a:t>
                </a:r>
                <a:endParaRPr lang="ru-RU" sz="2000"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ru-RU" sz="2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2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9940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195944</xdr:colOff>
      <xdr:row>16</xdr:row>
      <xdr:rowOff>38098</xdr:rowOff>
    </xdr:from>
    <xdr:to>
      <xdr:col>13</xdr:col>
      <xdr:colOff>359230</xdr:colOff>
      <xdr:row>54</xdr:row>
      <xdr:rowOff>152399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8B50D5BC-95BC-45C1-B71D-F3495C4E2C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28574</xdr:colOff>
      <xdr:row>18</xdr:row>
      <xdr:rowOff>28573</xdr:rowOff>
    </xdr:from>
    <xdr:to>
      <xdr:col>17</xdr:col>
      <xdr:colOff>142875</xdr:colOff>
      <xdr:row>49</xdr:row>
      <xdr:rowOff>38099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9E1745F-40FE-4459-8D9E-51912AE1A1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47625</xdr:colOff>
      <xdr:row>18</xdr:row>
      <xdr:rowOff>76201</xdr:rowOff>
    </xdr:from>
    <xdr:ext cx="628650" cy="2286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1CEB116-DA6F-4920-ACDF-EEAF143F4C74}"/>
                </a:ext>
              </a:extLst>
            </xdr:cNvPr>
            <xdr:cNvSpPr txBox="1"/>
          </xdr:nvSpPr>
          <xdr:spPr>
            <a:xfrm>
              <a:off x="2486025" y="3333751"/>
              <a:ext cx="628650" cy="2286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(°</m:t>
                    </m:r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</m:t>
                    </m:r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6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1CEB116-DA6F-4920-ACDF-EEAF143F4C74}"/>
                </a:ext>
              </a:extLst>
            </xdr:cNvPr>
            <xdr:cNvSpPr txBox="1"/>
          </xdr:nvSpPr>
          <xdr:spPr>
            <a:xfrm>
              <a:off x="2486025" y="3333751"/>
              <a:ext cx="628650" cy="2286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𝑇(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°𝐶)</a:t>
              </a:r>
              <a:endParaRPr lang="ru-RU" sz="1600"/>
            </a:p>
          </xdr:txBody>
        </xdr:sp>
      </mc:Fallback>
    </mc:AlternateContent>
    <xdr:clientData/>
  </xdr:oneCellAnchor>
  <xdr:oneCellAnchor>
    <xdr:from>
      <xdr:col>13</xdr:col>
      <xdr:colOff>190500</xdr:colOff>
      <xdr:row>47</xdr:row>
      <xdr:rowOff>95250</xdr:rowOff>
    </xdr:from>
    <xdr:ext cx="628650" cy="2286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718F9441-BACE-471F-8869-46C47C220B4E}"/>
                </a:ext>
              </a:extLst>
            </xdr:cNvPr>
            <xdr:cNvSpPr txBox="1"/>
          </xdr:nvSpPr>
          <xdr:spPr>
            <a:xfrm>
              <a:off x="6819900" y="8601075"/>
              <a:ext cx="628650" cy="2286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600" b="0"/>
                <a:t>L</a:t>
              </a:r>
              <a14:m>
                <m:oMath xmlns:m="http://schemas.openxmlformats.org/officeDocument/2006/math">
                  <m:r>
                    <a:rPr lang="en-US" sz="1600" b="0" i="1">
                      <a:latin typeface="Cambria Math" panose="02040503050406030204" pitchFamily="18" charset="0"/>
                    </a:rPr>
                    <m:t>(</m:t>
                  </m:r>
                  <m:r>
                    <a:rPr lang="en-US" sz="16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6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)</m:t>
                  </m:r>
                </m:oMath>
              </a14:m>
              <a:endParaRPr lang="ru-RU" sz="16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718F9441-BACE-471F-8869-46C47C220B4E}"/>
                </a:ext>
              </a:extLst>
            </xdr:cNvPr>
            <xdr:cNvSpPr txBox="1"/>
          </xdr:nvSpPr>
          <xdr:spPr>
            <a:xfrm>
              <a:off x="6819900" y="8601075"/>
              <a:ext cx="628650" cy="2286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600" b="0"/>
                <a:t>L</a:t>
              </a:r>
              <a:r>
                <a:rPr lang="en-US" sz="1600" b="0" i="0">
                  <a:latin typeface="Cambria Math" panose="02040503050406030204" pitchFamily="18" charset="0"/>
                </a:rPr>
                <a:t>(𝑚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ru-RU" sz="16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</xdr:colOff>
      <xdr:row>16</xdr:row>
      <xdr:rowOff>38100</xdr:rowOff>
    </xdr:from>
    <xdr:to>
      <xdr:col>11</xdr:col>
      <xdr:colOff>419100</xdr:colOff>
      <xdr:row>43</xdr:row>
      <xdr:rowOff>83820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823B944-3B49-40AE-8C55-6FDBBDB43F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D6093-BEFA-4F0E-831D-8DF71DEDEB9A}">
  <dimension ref="B3:AJ15"/>
  <sheetViews>
    <sheetView topLeftCell="A16" zoomScale="70" zoomScaleNormal="70" workbookViewId="0">
      <selection activeCell="R37" sqref="R37"/>
    </sheetView>
  </sheetViews>
  <sheetFormatPr defaultRowHeight="14.4" x14ac:dyDescent="0.3"/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3">
        <f>C3/30</f>
        <v>3.3333333333333335E-3</v>
      </c>
    </row>
    <row r="5" spans="2:36" x14ac:dyDescent="0.3">
      <c r="B5" s="2" t="s">
        <v>2</v>
      </c>
      <c r="C5" s="3">
        <f>(C9*C8*C4^2)/(2*C10)</f>
        <v>0.4333333333333334</v>
      </c>
    </row>
    <row r="6" spans="2:36" x14ac:dyDescent="0.3">
      <c r="B6" s="2" t="s">
        <v>3</v>
      </c>
      <c r="C6" s="2">
        <v>60</v>
      </c>
      <c r="D6">
        <v>60.43333333333333</v>
      </c>
    </row>
    <row r="7" spans="2:36" x14ac:dyDescent="0.3">
      <c r="B7" s="5"/>
      <c r="C7" s="5"/>
      <c r="D7" s="4"/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B11" s="5"/>
      <c r="C11" s="5"/>
      <c r="D11" s="4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12</v>
      </c>
      <c r="C12" s="2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8</v>
      </c>
      <c r="C13" s="2">
        <v>100</v>
      </c>
      <c r="E13" t="s">
        <v>7</v>
      </c>
      <c r="F13" s="1">
        <f>C12</f>
        <v>300</v>
      </c>
      <c r="G13" s="1">
        <v>269.23577580095974</v>
      </c>
      <c r="H13" s="1">
        <v>239.46949687021586</v>
      </c>
      <c r="I13" s="1">
        <v>209.70321793947198</v>
      </c>
      <c r="J13" s="1">
        <v>182.74843855570356</v>
      </c>
      <c r="K13" s="1">
        <v>155.79365917193513</v>
      </c>
      <c r="L13" s="1">
        <v>132.9744145991873</v>
      </c>
      <c r="M13" s="1">
        <v>110.15517002643944</v>
      </c>
      <c r="N13" s="1">
        <v>92.147582017584355</v>
      </c>
      <c r="O13" s="1">
        <v>74.139994008729275</v>
      </c>
      <c r="P13" s="1">
        <v>60.994745747338115</v>
      </c>
      <c r="Q13" s="1">
        <v>47.849497485946962</v>
      </c>
      <c r="R13" s="1">
        <v>39.160902322446915</v>
      </c>
      <c r="S13" s="1">
        <v>30.472307158946879</v>
      </c>
      <c r="T13" s="1">
        <v>25.614932611819363</v>
      </c>
      <c r="U13" s="1">
        <v>20.757558064691843</v>
      </c>
      <c r="V13" s="1">
        <v>19.102847380488598</v>
      </c>
      <c r="W13" s="1">
        <v>17.448136696285349</v>
      </c>
      <c r="X13" s="1">
        <v>18.497552979911937</v>
      </c>
      <c r="Y13" s="1">
        <v>19.546969263538521</v>
      </c>
      <c r="Z13" s="1">
        <v>22.959142436048275</v>
      </c>
      <c r="AA13" s="1">
        <v>26.371315608558028</v>
      </c>
      <c r="AB13" s="1">
        <v>31.900810162646764</v>
      </c>
      <c r="AC13" s="1">
        <v>37.430304716735499</v>
      </c>
      <c r="AD13" s="1">
        <v>44.822439840411008</v>
      </c>
      <c r="AE13" s="1">
        <v>52.214574964086516</v>
      </c>
      <c r="AF13" s="1">
        <v>61.108743343249003</v>
      </c>
      <c r="AG13" s="1">
        <v>70.002911722411497</v>
      </c>
      <c r="AH13" s="1">
        <v>79.886388766073139</v>
      </c>
      <c r="AI13" s="1">
        <v>89.769865809734796</v>
      </c>
      <c r="AJ13" s="1">
        <f>C13</f>
        <v>100</v>
      </c>
    </row>
    <row r="15" spans="2:36" x14ac:dyDescent="0.3">
      <c r="E15" t="s">
        <v>9</v>
      </c>
      <c r="G15" s="1">
        <f>G13+(($C$10*$C$5)/($C$9*$C$8))*((H13-2*G13+F13)/($C$4^2))</f>
        <v>269.73474843510792</v>
      </c>
      <c r="H15" s="1">
        <f t="shared" ref="H15:AI15" si="1">H13+(($C$10*$C$5)/($C$9*$C$8))*((I13-2*H13+G13)/($C$4^2))</f>
        <v>239.46949687021586</v>
      </c>
      <c r="I15" s="1">
        <f t="shared" si="1"/>
        <v>211.10896771295972</v>
      </c>
      <c r="J15" s="1">
        <f t="shared" si="1"/>
        <v>182.74843855570356</v>
      </c>
      <c r="K15" s="1">
        <f t="shared" si="1"/>
        <v>157.86142657744543</v>
      </c>
      <c r="L15" s="1">
        <f t="shared" si="1"/>
        <v>132.9744145991873</v>
      </c>
      <c r="M15" s="1">
        <f t="shared" si="1"/>
        <v>112.56099830838582</v>
      </c>
      <c r="N15" s="1">
        <f t="shared" si="1"/>
        <v>92.147582017584355</v>
      </c>
      <c r="O15" s="1">
        <f t="shared" si="1"/>
        <v>76.571163882461235</v>
      </c>
      <c r="P15" s="1">
        <f t="shared" si="1"/>
        <v>60.994745747338115</v>
      </c>
      <c r="Q15" s="1">
        <f t="shared" si="1"/>
        <v>50.077824034892515</v>
      </c>
      <c r="R15" s="1">
        <f t="shared" si="1"/>
        <v>39.160902322446915</v>
      </c>
      <c r="S15" s="1">
        <f t="shared" si="1"/>
        <v>32.387917467133143</v>
      </c>
      <c r="T15" s="1">
        <f t="shared" si="1"/>
        <v>25.614932611819363</v>
      </c>
      <c r="U15" s="1">
        <f t="shared" si="1"/>
        <v>22.35888999615398</v>
      </c>
      <c r="V15" s="1">
        <f t="shared" si="1"/>
        <v>19.102847380488598</v>
      </c>
      <c r="W15" s="1">
        <f t="shared" si="1"/>
        <v>18.800200180200267</v>
      </c>
      <c r="X15" s="1">
        <f t="shared" si="1"/>
        <v>18.497552979911937</v>
      </c>
      <c r="Y15" s="1">
        <f t="shared" si="1"/>
        <v>20.728347707980106</v>
      </c>
      <c r="Z15" s="1">
        <f t="shared" si="1"/>
        <v>22.959142436048275</v>
      </c>
      <c r="AA15" s="1">
        <f t="shared" si="1"/>
        <v>27.429976299347519</v>
      </c>
      <c r="AB15" s="1">
        <f t="shared" si="1"/>
        <v>31.900810162646764</v>
      </c>
      <c r="AC15" s="1">
        <f t="shared" si="1"/>
        <v>38.361625001528886</v>
      </c>
      <c r="AD15" s="1">
        <f t="shared" si="1"/>
        <v>44.822439840411008</v>
      </c>
      <c r="AE15" s="1">
        <f t="shared" si="1"/>
        <v>52.965591591830005</v>
      </c>
      <c r="AF15" s="1">
        <f t="shared" si="1"/>
        <v>61.108743343249003</v>
      </c>
      <c r="AG15" s="1">
        <f t="shared" si="1"/>
        <v>70.497566054661064</v>
      </c>
      <c r="AH15" s="1">
        <f t="shared" si="1"/>
        <v>79.886388766073139</v>
      </c>
      <c r="AI15" s="1">
        <f t="shared" si="1"/>
        <v>89.94319438303657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0A7AD-F017-472E-AE14-F92FBB33BE54}">
  <sheetPr codeName="Лист1"/>
  <dimension ref="A3:AJ16"/>
  <sheetViews>
    <sheetView zoomScale="80" zoomScaleNormal="80" workbookViewId="0">
      <selection activeCell="V25" sqref="V25"/>
    </sheetView>
  </sheetViews>
  <sheetFormatPr defaultRowHeight="14.4" x14ac:dyDescent="0.3"/>
  <cols>
    <col min="6" max="6" width="6.5546875" customWidth="1"/>
    <col min="7" max="7" width="7.33203125" customWidth="1"/>
    <col min="8" max="36" width="6.5546875" customWidth="1"/>
  </cols>
  <sheetData>
    <row r="3" spans="1:36" x14ac:dyDescent="0.3">
      <c r="B3" s="2" t="s">
        <v>0</v>
      </c>
      <c r="C3" s="2">
        <v>0.1</v>
      </c>
    </row>
    <row r="4" spans="1:36" x14ac:dyDescent="0.3">
      <c r="B4" s="2" t="s">
        <v>1</v>
      </c>
      <c r="C4" s="3">
        <f>C3/30</f>
        <v>3.3333333333333335E-3</v>
      </c>
    </row>
    <row r="5" spans="1:36" x14ac:dyDescent="0.3">
      <c r="B5" s="2" t="s">
        <v>2</v>
      </c>
      <c r="C5" s="3">
        <f>(C9*C8*C4^2)/(2*C10)</f>
        <v>0.4333333333333334</v>
      </c>
    </row>
    <row r="6" spans="1:36" x14ac:dyDescent="0.3">
      <c r="B6" s="2" t="s">
        <v>3</v>
      </c>
      <c r="C6" s="2">
        <v>5000</v>
      </c>
      <c r="D6">
        <v>5000.4333333333334</v>
      </c>
    </row>
    <row r="7" spans="1:36" x14ac:dyDescent="0.3">
      <c r="A7" s="4"/>
      <c r="B7" s="5"/>
      <c r="C7" s="5"/>
      <c r="D7" s="4"/>
    </row>
    <row r="8" spans="1:36" x14ac:dyDescent="0.3">
      <c r="B8" s="2" t="s">
        <v>4</v>
      </c>
      <c r="C8" s="2">
        <v>460</v>
      </c>
    </row>
    <row r="9" spans="1:36" x14ac:dyDescent="0.3">
      <c r="B9" s="2" t="s">
        <v>5</v>
      </c>
      <c r="C9" s="2">
        <v>7800</v>
      </c>
    </row>
    <row r="10" spans="1:36" x14ac:dyDescent="0.3">
      <c r="B10" s="2" t="s">
        <v>6</v>
      </c>
      <c r="C10" s="2">
        <v>46</v>
      </c>
    </row>
    <row r="11" spans="1:36" x14ac:dyDescent="0.3">
      <c r="A11" s="4"/>
      <c r="B11" s="5"/>
      <c r="C11" s="5"/>
      <c r="D11" s="4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36" x14ac:dyDescent="0.3">
      <c r="B12" s="2" t="s">
        <v>11</v>
      </c>
      <c r="C12" s="2">
        <v>92000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3">
      <c r="B13" s="2" t="s">
        <v>8</v>
      </c>
      <c r="C13" s="2">
        <v>100</v>
      </c>
      <c r="E13" t="s">
        <v>7</v>
      </c>
      <c r="F13" s="1">
        <f>(F16/C10)*C4+G13</f>
        <v>299.76152995395427</v>
      </c>
      <c r="G13" s="1">
        <v>293.09486328728758</v>
      </c>
      <c r="H13" s="1">
        <v>286.42887258987537</v>
      </c>
      <c r="I13" s="1">
        <v>279.76355594560931</v>
      </c>
      <c r="J13" s="1">
        <v>273.09890952770422</v>
      </c>
      <c r="K13" s="1">
        <v>266.43492760954553</v>
      </c>
      <c r="L13" s="1">
        <v>259.77160258092186</v>
      </c>
      <c r="M13" s="1">
        <v>253.1089249695971</v>
      </c>
      <c r="N13" s="1">
        <v>246.44688346816059</v>
      </c>
      <c r="O13" s="1">
        <v>239.78546496607885</v>
      </c>
      <c r="P13" s="1">
        <v>233.12465458685932</v>
      </c>
      <c r="Q13" s="1">
        <v>226.46443573021875</v>
      </c>
      <c r="R13" s="1">
        <v>219.80479011913943</v>
      </c>
      <c r="S13" s="1">
        <v>213.14569785167603</v>
      </c>
      <c r="T13" s="1">
        <v>206.4871374573716</v>
      </c>
      <c r="U13" s="1">
        <v>199.82908595811583</v>
      </c>
      <c r="V13" s="1">
        <v>193.17151893328128</v>
      </c>
      <c r="W13" s="1">
        <v>186.51441058894395</v>
      </c>
      <c r="X13" s="1">
        <v>179.85773383100135</v>
      </c>
      <c r="Y13" s="1">
        <v>173.20146034197114</v>
      </c>
      <c r="Z13" s="1">
        <v>166.54556066126284</v>
      </c>
      <c r="AA13" s="1">
        <v>159.89000426868424</v>
      </c>
      <c r="AB13" s="1">
        <v>153.23475967095703</v>
      </c>
      <c r="AC13" s="1">
        <v>146.57979449098519</v>
      </c>
      <c r="AD13" s="1">
        <v>139.925075559634</v>
      </c>
      <c r="AE13" s="1">
        <v>133.27056900974901</v>
      </c>
      <c r="AF13" s="1">
        <v>126.61624037215859</v>
      </c>
      <c r="AG13" s="1">
        <v>119.96205467337839</v>
      </c>
      <c r="AH13" s="1">
        <v>113.30797653474929</v>
      </c>
      <c r="AI13" s="1">
        <v>106.65397027272058</v>
      </c>
      <c r="AJ13" s="1">
        <f>C13</f>
        <v>100</v>
      </c>
    </row>
    <row r="15" spans="1:36" x14ac:dyDescent="0.3">
      <c r="E15" t="s">
        <v>9</v>
      </c>
      <c r="G15" s="1">
        <f>G13+(($C$10*$C$5)/($C$9*$C$8))*((H13-2*G13+F13)/($C$4^2))</f>
        <v>293.09520127191479</v>
      </c>
      <c r="H15" s="1">
        <f t="shared" ref="H15:AI15" si="1">H13+(($C$10*$C$5)/($C$9*$C$8))*((I13-2*H13+G13)/($C$4^2))</f>
        <v>286.42920961644847</v>
      </c>
      <c r="I15" s="1">
        <f t="shared" si="1"/>
        <v>279.7638910587898</v>
      </c>
      <c r="J15" s="1">
        <f t="shared" si="1"/>
        <v>273.09924177757739</v>
      </c>
      <c r="K15" s="1">
        <f t="shared" si="1"/>
        <v>266.43525605431307</v>
      </c>
      <c r="L15" s="1">
        <f t="shared" si="1"/>
        <v>259.7719262895713</v>
      </c>
      <c r="M15" s="1">
        <f t="shared" si="1"/>
        <v>253.10924302454123</v>
      </c>
      <c r="N15" s="1">
        <f t="shared" si="1"/>
        <v>246.44719496783796</v>
      </c>
      <c r="O15" s="1">
        <f t="shared" si="1"/>
        <v>239.78576902750996</v>
      </c>
      <c r="P15" s="1">
        <f t="shared" si="1"/>
        <v>233.12495034814879</v>
      </c>
      <c r="Q15" s="1">
        <f t="shared" si="1"/>
        <v>226.46472235299939</v>
      </c>
      <c r="R15" s="1">
        <f t="shared" si="1"/>
        <v>219.80506679094739</v>
      </c>
      <c r="S15" s="1">
        <f t="shared" si="1"/>
        <v>213.14596378825553</v>
      </c>
      <c r="T15" s="1">
        <f t="shared" si="1"/>
        <v>206.48739190489593</v>
      </c>
      <c r="U15" s="1">
        <f t="shared" si="1"/>
        <v>199.82932819532644</v>
      </c>
      <c r="V15" s="1">
        <f t="shared" si="1"/>
        <v>193.17174827352989</v>
      </c>
      <c r="W15" s="1">
        <f t="shared" si="1"/>
        <v>186.51462638214133</v>
      </c>
      <c r="X15" s="1">
        <f t="shared" si="1"/>
        <v>179.85793546545756</v>
      </c>
      <c r="Y15" s="1">
        <f t="shared" si="1"/>
        <v>173.2016472461321</v>
      </c>
      <c r="Z15" s="1">
        <f t="shared" si="1"/>
        <v>166.5457323053277</v>
      </c>
      <c r="AA15" s="1">
        <f t="shared" si="1"/>
        <v>159.89016016610992</v>
      </c>
      <c r="AB15" s="1">
        <f t="shared" si="1"/>
        <v>153.2348993798347</v>
      </c>
      <c r="AC15" s="1">
        <f t="shared" si="1"/>
        <v>146.57991761529553</v>
      </c>
      <c r="AD15" s="1">
        <f t="shared" si="1"/>
        <v>139.9251817503671</v>
      </c>
      <c r="AE15" s="1">
        <f t="shared" si="1"/>
        <v>133.27065796589631</v>
      </c>
      <c r="AF15" s="1">
        <f t="shared" si="1"/>
        <v>126.6163118415637</v>
      </c>
      <c r="AG15" s="1">
        <f t="shared" si="1"/>
        <v>119.96210845345394</v>
      </c>
      <c r="AH15" s="1">
        <f t="shared" si="1"/>
        <v>113.30801247304949</v>
      </c>
      <c r="AI15" s="1">
        <f t="shared" si="1"/>
        <v>106.65398826737464</v>
      </c>
    </row>
    <row r="16" spans="1:36" x14ac:dyDescent="0.3">
      <c r="E16" t="s">
        <v>10</v>
      </c>
      <c r="F16">
        <f>C12</f>
        <v>92000</v>
      </c>
      <c r="G16">
        <f>-$C$10*((G13-F13)/$C$4)</f>
        <v>92000.000000000247</v>
      </c>
      <c r="H16">
        <f t="shared" ref="H16:AI16" si="2">-$C$10*((H13-G13)/$C$4)</f>
        <v>91990.671624288516</v>
      </c>
      <c r="I16">
        <f t="shared" si="2"/>
        <v>91981.369690871565</v>
      </c>
      <c r="J16">
        <f t="shared" si="2"/>
        <v>91972.120567090227</v>
      </c>
      <c r="K16">
        <f t="shared" si="2"/>
        <v>91962.950470590018</v>
      </c>
      <c r="L16">
        <f t="shared" si="2"/>
        <v>91953.885395006495</v>
      </c>
      <c r="M16">
        <f t="shared" si="2"/>
        <v>91944.951036281782</v>
      </c>
      <c r="N16">
        <f t="shared" si="2"/>
        <v>91936.172719823764</v>
      </c>
      <c r="O16">
        <f t="shared" si="2"/>
        <v>91927.575328728068</v>
      </c>
      <c r="P16">
        <f t="shared" si="2"/>
        <v>91919.183233229458</v>
      </c>
      <c r="Q16">
        <f t="shared" si="2"/>
        <v>91911.020221639847</v>
      </c>
      <c r="R16">
        <f t="shared" si="2"/>
        <v>91903.109432894707</v>
      </c>
      <c r="S16">
        <f t="shared" si="2"/>
        <v>91895.473290994807</v>
      </c>
      <c r="T16">
        <f t="shared" si="2"/>
        <v>91888.133441401136</v>
      </c>
      <c r="U16">
        <f t="shared" si="2"/>
        <v>91881.110689729714</v>
      </c>
      <c r="V16">
        <f t="shared" si="2"/>
        <v>91874.424942716767</v>
      </c>
      <c r="W16">
        <f t="shared" si="2"/>
        <v>91868.095151855159</v>
      </c>
      <c r="X16">
        <f t="shared" si="2"/>
        <v>91862.139259607749</v>
      </c>
      <c r="Y16">
        <f t="shared" si="2"/>
        <v>91856.574148616928</v>
      </c>
      <c r="Z16">
        <f t="shared" si="2"/>
        <v>91851.415593774567</v>
      </c>
      <c r="AA16">
        <f t="shared" si="2"/>
        <v>91846.678217584718</v>
      </c>
      <c r="AB16">
        <f t="shared" si="2"/>
        <v>91842.375448635416</v>
      </c>
      <c r="AC16">
        <f t="shared" si="2"/>
        <v>91838.519483611366</v>
      </c>
      <c r="AD16">
        <f t="shared" si="2"/>
        <v>91835.121252646524</v>
      </c>
      <c r="AE16">
        <f t="shared" si="2"/>
        <v>91832.190388412797</v>
      </c>
      <c r="AF16">
        <f t="shared" si="2"/>
        <v>91829.735198747847</v>
      </c>
      <c r="AG16">
        <f t="shared" si="2"/>
        <v>91827.762643166701</v>
      </c>
      <c r="AH16">
        <f t="shared" si="2"/>
        <v>91826.27831308161</v>
      </c>
      <c r="AI16">
        <f t="shared" si="2"/>
        <v>91825.286415996074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2EB5B-E6E4-42B1-942F-874DB65CF476}">
  <dimension ref="B3:AJ15"/>
  <sheetViews>
    <sheetView tabSelected="1" workbookViewId="0">
      <selection activeCell="F13" sqref="F13"/>
    </sheetView>
  </sheetViews>
  <sheetFormatPr defaultRowHeight="14.4" x14ac:dyDescent="0.3"/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3">
        <f>C3/30</f>
        <v>3.3333333333333335E-3</v>
      </c>
    </row>
    <row r="5" spans="2:36" x14ac:dyDescent="0.3">
      <c r="B5" s="2" t="s">
        <v>2</v>
      </c>
      <c r="C5" s="3">
        <f>(C9*C8*C4^2)/(2*C10)</f>
        <v>0.4333333333333334</v>
      </c>
    </row>
    <row r="6" spans="2:36" x14ac:dyDescent="0.3">
      <c r="B6" s="2" t="s">
        <v>3</v>
      </c>
      <c r="C6" s="2">
        <v>600</v>
      </c>
      <c r="D6">
        <v>600.43333333333328</v>
      </c>
    </row>
    <row r="7" spans="2:36" x14ac:dyDescent="0.3">
      <c r="B7" s="5"/>
      <c r="C7" s="5"/>
      <c r="D7" s="4"/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B11" s="5"/>
      <c r="C11" s="5"/>
      <c r="D11" s="4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13</v>
      </c>
      <c r="C12" s="2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8</v>
      </c>
      <c r="C13" s="2">
        <v>100</v>
      </c>
      <c r="E13" t="s">
        <v>7</v>
      </c>
      <c r="F13" s="1">
        <f>($C$14*(G13-C12))/-$C$10</f>
        <v>94.110310360253365</v>
      </c>
      <c r="G13" s="1">
        <v>93.853605877540218</v>
      </c>
      <c r="H13" s="1">
        <v>93.619310397677751</v>
      </c>
      <c r="I13" s="1">
        <v>93.364439298578233</v>
      </c>
      <c r="J13" s="1">
        <v>93.161792787257099</v>
      </c>
      <c r="K13" s="1">
        <v>92.929049688635956</v>
      </c>
      <c r="L13" s="1">
        <v>92.776141537748032</v>
      </c>
      <c r="M13" s="1">
        <v>92.584803147811101</v>
      </c>
      <c r="N13" s="1">
        <v>92.497531802062781</v>
      </c>
      <c r="O13" s="1">
        <v>92.365000123076456</v>
      </c>
      <c r="P13" s="1">
        <v>92.356359496832255</v>
      </c>
      <c r="Q13" s="1">
        <v>92.297389796601962</v>
      </c>
      <c r="R13" s="1">
        <v>92.376884289739664</v>
      </c>
      <c r="S13" s="1">
        <v>92.402932113713803</v>
      </c>
      <c r="T13" s="1">
        <v>92.576146535858229</v>
      </c>
      <c r="U13" s="1">
        <v>92.694862681249816</v>
      </c>
      <c r="V13" s="1">
        <v>92.96320651618224</v>
      </c>
      <c r="W13" s="1">
        <v>93.178102256141017</v>
      </c>
      <c r="X13" s="1">
        <v>93.538739944580271</v>
      </c>
      <c r="Y13" s="1">
        <v>93.849037171647566</v>
      </c>
      <c r="Z13" s="1">
        <v>94.295007805430288</v>
      </c>
      <c r="AA13" s="1">
        <v>94.695680500495882</v>
      </c>
      <c r="AB13" s="1">
        <v>95.216201872971368</v>
      </c>
      <c r="AC13" s="1">
        <v>95.69820676840169</v>
      </c>
      <c r="AD13" s="1">
        <v>96.279150490878209</v>
      </c>
      <c r="AE13" s="1">
        <v>96.829836365906701</v>
      </c>
      <c r="AF13" s="1">
        <v>97.454353105601356</v>
      </c>
      <c r="AG13" s="1">
        <v>98.05803020467394</v>
      </c>
      <c r="AH13" s="1">
        <v>98.70729736795802</v>
      </c>
      <c r="AI13" s="1">
        <v>99.345941322545443</v>
      </c>
      <c r="AJ13" s="1">
        <f>C13</f>
        <v>100</v>
      </c>
    </row>
    <row r="14" spans="2:36" x14ac:dyDescent="0.3">
      <c r="B14" s="6" t="s">
        <v>14</v>
      </c>
      <c r="C14" s="7">
        <v>21</v>
      </c>
    </row>
    <row r="15" spans="2:36" x14ac:dyDescent="0.3">
      <c r="E15" t="s">
        <v>9</v>
      </c>
      <c r="G15" s="1">
        <f>G13+(($C$10*$C$5)/($C$9*$C$8))*( (H13-2*G13+F13)/($C$4^2))</f>
        <v>93.864810378965558</v>
      </c>
      <c r="H15" s="1">
        <f t="shared" ref="H15:AI15" si="1">H13+(($C$10*$C$5)/($C$9*$C$8))*((I13-2*H13+G13)/($C$4^2))</f>
        <v>93.609022588059219</v>
      </c>
      <c r="I15" s="1">
        <f t="shared" si="1"/>
        <v>93.390551592467432</v>
      </c>
      <c r="J15" s="1">
        <f t="shared" si="1"/>
        <v>93.146744493607088</v>
      </c>
      <c r="K15" s="1">
        <f t="shared" si="1"/>
        <v>92.968967162502565</v>
      </c>
      <c r="L15" s="1">
        <f t="shared" si="1"/>
        <v>92.756926418223529</v>
      </c>
      <c r="M15" s="1">
        <f t="shared" si="1"/>
        <v>92.636836669905406</v>
      </c>
      <c r="N15" s="1">
        <f t="shared" si="1"/>
        <v>92.474901635443786</v>
      </c>
      <c r="O15" s="1">
        <f t="shared" si="1"/>
        <v>92.426945649447518</v>
      </c>
      <c r="P15" s="1">
        <f t="shared" si="1"/>
        <v>92.331194959839209</v>
      </c>
      <c r="Q15" s="1">
        <f t="shared" si="1"/>
        <v>92.366621893285952</v>
      </c>
      <c r="R15" s="1">
        <f t="shared" si="1"/>
        <v>92.350160955157889</v>
      </c>
      <c r="S15" s="1">
        <f t="shared" si="1"/>
        <v>92.476515412798946</v>
      </c>
      <c r="T15" s="1">
        <f t="shared" si="1"/>
        <v>92.548897397481809</v>
      </c>
      <c r="U15" s="1">
        <f t="shared" si="1"/>
        <v>92.769676526020234</v>
      </c>
      <c r="V15" s="1">
        <f t="shared" si="1"/>
        <v>92.936482468695417</v>
      </c>
      <c r="W15" s="1">
        <f t="shared" si="1"/>
        <v>93.250973230381248</v>
      </c>
      <c r="X15" s="1">
        <f t="shared" si="1"/>
        <v>93.513569713894299</v>
      </c>
      <c r="Y15" s="1">
        <f t="shared" si="1"/>
        <v>93.91687387500528</v>
      </c>
      <c r="Z15" s="1">
        <f t="shared" si="1"/>
        <v>94.272358836071732</v>
      </c>
      <c r="AA15" s="1">
        <f t="shared" si="1"/>
        <v>94.755604839200828</v>
      </c>
      <c r="AB15" s="1">
        <f t="shared" si="1"/>
        <v>95.196943634448786</v>
      </c>
      <c r="AC15" s="1">
        <f t="shared" si="1"/>
        <v>95.747676181924788</v>
      </c>
      <c r="AD15" s="1">
        <f t="shared" si="1"/>
        <v>96.264021567154202</v>
      </c>
      <c r="AE15" s="1">
        <f t="shared" si="1"/>
        <v>96.86675179823979</v>
      </c>
      <c r="AF15" s="1">
        <f t="shared" si="1"/>
        <v>97.443933285290314</v>
      </c>
      <c r="AG15" s="1">
        <f t="shared" si="1"/>
        <v>98.080825236779688</v>
      </c>
      <c r="AH15" s="1">
        <f t="shared" si="1"/>
        <v>98.701985763609684</v>
      </c>
      <c r="AI15" s="1">
        <f t="shared" si="1"/>
        <v>99.353648683979003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 1</vt:lpstr>
      <vt:lpstr>ГУ 2</vt:lpstr>
      <vt:lpstr>ГУ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Dude 21</dc:creator>
  <cp:lastModifiedBy>Dude 21</cp:lastModifiedBy>
  <dcterms:created xsi:type="dcterms:W3CDTF">2021-09-15T09:42:45Z</dcterms:created>
  <dcterms:modified xsi:type="dcterms:W3CDTF">2021-10-13T17:03:57Z</dcterms:modified>
</cp:coreProperties>
</file>