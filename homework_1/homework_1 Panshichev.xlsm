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ude 21\Desktop\УчЁба\"/>
    </mc:Choice>
  </mc:AlternateContent>
  <xr:revisionPtr revIDLastSave="0" documentId="13_ncr:1_{6334B95C-8616-4AF7-88FC-564B6A503F79}" xr6:coauthVersionLast="37" xr6:coauthVersionMax="37" xr10:uidLastSave="{00000000-0000-0000-0000-000000000000}"/>
  <bookViews>
    <workbookView xWindow="0" yWindow="0" windowWidth="23040" windowHeight="9060" xr2:uid="{76475AEC-F8D6-4668-943C-A83C946F8CA6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3" i="1"/>
  <c r="G16" i="1" s="1"/>
  <c r="F16" i="1"/>
  <c r="H15" i="1" l="1"/>
  <c r="N15" i="1"/>
  <c r="O15" i="1"/>
  <c r="P15" i="1"/>
  <c r="V15" i="1"/>
  <c r="W15" i="1"/>
  <c r="X15" i="1"/>
  <c r="AD15" i="1"/>
  <c r="AE15" i="1"/>
  <c r="AF15" i="1"/>
  <c r="AG15" i="1"/>
  <c r="C5" i="1"/>
  <c r="I15" i="1" s="1"/>
  <c r="AJ13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AC15" i="1" l="1"/>
  <c r="U15" i="1"/>
  <c r="M15" i="1"/>
  <c r="G15" i="1"/>
  <c r="AB15" i="1"/>
  <c r="T15" i="1"/>
  <c r="L15" i="1"/>
  <c r="AI15" i="1"/>
  <c r="AA15" i="1"/>
  <c r="S15" i="1"/>
  <c r="K15" i="1"/>
  <c r="AH15" i="1"/>
  <c r="Z15" i="1"/>
  <c r="R15" i="1"/>
  <c r="J15" i="1"/>
  <c r="Y15" i="1"/>
  <c r="Q15" i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<sst xmlns="http://schemas.openxmlformats.org/spreadsheetml/2006/main" count="14" uniqueCount="13">
  <si>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</si>
  <si>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</si>
  <si>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</si>
  <si>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</si>
  <si>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</si>
  <si>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</si>
  <si>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</si>
  <si>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</si>
  <si>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</si>
  <si>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</si>
  <si>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На видео сказано 76, но написано 46…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</si>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</sst>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Лист1!$F$12:$AI$12</c:f>
              <c:numCache>
                <c:formatCode>0.000</c:formatCode>
                <c:ptCount val="30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</c:numCache>
            </c:numRef>
          </c:xVal>
          <c:yVal>
            <c:numRef>
              <c:f>Лист1!$F$13:$AI$13</c:f>
              <c:numCache>
                <c:formatCode>General</c:formatCode>
                <c:ptCount val="30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2-4FED-90BE-FB962D64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158768"/>
        <c:axId val="844483488"/>
      </c:scatterChart>
      <c:valAx>
        <c:axId val="7201587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4483488"/>
        <c:crosses val="autoZero"/>
        <c:crossBetween val="midCat"/>
      </c:valAx>
      <c:valAx>
        <c:axId val="844483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015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18</xdr:row>
      <xdr:rowOff>28573</xdr:rowOff>
    </xdr:from>
    <xdr:to>
      <xdr:col>17</xdr:col>
      <xdr:colOff>142875</xdr:colOff>
      <xdr:row>49</xdr:row>
      <xdr:rowOff>38099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9E1745F-40FE-4459-8D9E-51912AE1A1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47625</xdr:colOff>
      <xdr:row>18</xdr:row>
      <xdr:rowOff>76201</xdr:rowOff>
    </xdr:from>
    <xdr:ext cx="628650" cy="2286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1CEB116-DA6F-4920-ACDF-EEAF143F4C74}"/>
                </a:ext>
              </a:extLst>
            </xdr:cNvPr>
            <xdr:cNvSpPr txBox="1"/>
          </xdr:nvSpPr>
          <xdr:spPr>
            <a:xfrm>
              <a:off x="2486025" y="3333751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(°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1CEB116-DA6F-4920-ACDF-EEAF143F4C74}"/>
                </a:ext>
              </a:extLst>
            </xdr:cNvPr>
            <xdr:cNvSpPr txBox="1"/>
          </xdr:nvSpPr>
          <xdr:spPr>
            <a:xfrm>
              <a:off x="2486025" y="3333751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𝑇(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°𝐶)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13</xdr:col>
      <xdr:colOff>190500</xdr:colOff>
      <xdr:row>47</xdr:row>
      <xdr:rowOff>95250</xdr:rowOff>
    </xdr:from>
    <xdr:ext cx="628650" cy="2286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18F9441-BACE-471F-8869-46C47C220B4E}"/>
                </a:ext>
              </a:extLst>
            </xdr:cNvPr>
            <xdr:cNvSpPr txBox="1"/>
          </xdr:nvSpPr>
          <xdr:spPr>
            <a:xfrm>
              <a:off x="6819900" y="8601075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</m:t>
                  </m:r>
                </m:oMath>
              </a14:m>
              <a:endParaRPr lang="ru-RU" sz="16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18F9441-BACE-471F-8869-46C47C220B4E}"/>
                </a:ext>
              </a:extLst>
            </xdr:cNvPr>
            <xdr:cNvSpPr txBox="1"/>
          </xdr:nvSpPr>
          <xdr:spPr>
            <a:xfrm>
              <a:off x="6819900" y="8601075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(𝑚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ru-RU" sz="16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0A7AD-F017-472E-AE14-F92FBB33BE54}">
  <sheetPr codeName="Лист1"/>
  <dimension ref="A3:AJ16"/>
  <sheetViews>
    <sheetView tabSelected="1" zoomScale="80" zoomScaleNormal="80" workbookViewId="0">
      <selection activeCell="H20" sqref="H20"/>
    </sheetView>
  </sheetViews>
  <sheetFormatPr defaultRowHeight="14.4" x14ac:dyDescent="0.3"/>
  <cols>
    <col min="6" max="6" width="6.5546875" customWidth="1"/>
    <col min="7" max="7" width="7.33203125" customWidth="1"/>
    <col min="8" max="36" width="6.5546875" customWidth="1"/>
  </cols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3">
        <f>C3/30</f>
        <v>3.3333333333333335E-3</v>
      </c>
    </row>
    <row r="5" spans="1:36" x14ac:dyDescent="0.3">
      <c r="B5" s="2" t="s">
        <v>2</v>
      </c>
      <c r="C5" s="3">
        <f>(C9*C8*C4^2)/(2*C10)</f>
        <v>0.4333333333333334</v>
      </c>
    </row>
    <row r="6" spans="1:36" x14ac:dyDescent="0.3">
      <c r="B6" s="2" t="s">
        <v>3</v>
      </c>
      <c r="C6" s="2">
        <v>5000</v>
      </c>
      <c r="D6">
        <v>5000.4333333333334</v>
      </c>
    </row>
    <row r="7" spans="1:36" x14ac:dyDescent="0.3">
      <c r="A7" s="4"/>
      <c r="B7" s="5"/>
      <c r="C7" s="5"/>
      <c r="D7" s="4"/>
    </row>
    <row r="8" spans="1:36" x14ac:dyDescent="0.3">
      <c r="B8" s="2" t="s">
        <v>4</v>
      </c>
      <c r="C8" s="2">
        <v>460</v>
      </c>
    </row>
    <row r="9" spans="1:36" x14ac:dyDescent="0.3">
      <c r="B9" s="2" t="s">
        <v>5</v>
      </c>
      <c r="C9" s="2">
        <v>7800</v>
      </c>
    </row>
    <row r="10" spans="1:36" x14ac:dyDescent="0.3">
      <c r="B10" s="2" t="s">
        <v>6</v>
      </c>
      <c r="C10" s="2">
        <v>46</v>
      </c>
      <c r="D10" t="s">
        <v>10</v>
      </c>
    </row>
    <row r="11" spans="1:36" x14ac:dyDescent="0.3">
      <c r="A11" s="4"/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12</v>
      </c>
      <c r="C12" s="2">
        <v>92000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2" t="s">
        <v>8</v>
      </c>
      <c r="C13" s="2">
        <v>100</v>
      </c>
      <c r="E13" t="s">
        <v>7</v>
      </c>
      <c r="F13" s="1">
        <f>(F16/C10)*C4+G13</f>
        <v>299.76152995395427</v>
      </c>
      <c r="G13" s="1">
        <v>293.09486328728758</v>
      </c>
      <c r="H13" s="1">
        <v>286.42887258987537</v>
      </c>
      <c r="I13" s="1">
        <v>279.76355594560931</v>
      </c>
      <c r="J13" s="1">
        <v>273.09890952770422</v>
      </c>
      <c r="K13" s="1">
        <v>266.43492760954553</v>
      </c>
      <c r="L13" s="1">
        <v>259.77160258092186</v>
      </c>
      <c r="M13" s="1">
        <v>253.1089249695971</v>
      </c>
      <c r="N13" s="1">
        <v>246.44688346816059</v>
      </c>
      <c r="O13" s="1">
        <v>239.78546496607885</v>
      </c>
      <c r="P13" s="1">
        <v>233.12465458685932</v>
      </c>
      <c r="Q13" s="1">
        <v>226.46443573021875</v>
      </c>
      <c r="R13" s="1">
        <v>219.80479011913943</v>
      </c>
      <c r="S13" s="1">
        <v>213.14569785167603</v>
      </c>
      <c r="T13" s="1">
        <v>206.4871374573716</v>
      </c>
      <c r="U13" s="1">
        <v>199.82908595811583</v>
      </c>
      <c r="V13" s="1">
        <v>193.17151893328128</v>
      </c>
      <c r="W13" s="1">
        <v>186.51441058894395</v>
      </c>
      <c r="X13" s="1">
        <v>179.85773383100135</v>
      </c>
      <c r="Y13" s="1">
        <v>173.20146034197114</v>
      </c>
      <c r="Z13" s="1">
        <v>166.54556066126284</v>
      </c>
      <c r="AA13" s="1">
        <v>159.89000426868424</v>
      </c>
      <c r="AB13" s="1">
        <v>153.23475967095703</v>
      </c>
      <c r="AC13" s="1">
        <v>146.57979449098519</v>
      </c>
      <c r="AD13" s="1">
        <v>139.925075559634</v>
      </c>
      <c r="AE13" s="1">
        <v>133.27056900974901</v>
      </c>
      <c r="AF13" s="1">
        <v>126.61624037215859</v>
      </c>
      <c r="AG13" s="1">
        <v>119.96205467337839</v>
      </c>
      <c r="AH13" s="1">
        <v>113.30797653474929</v>
      </c>
      <c r="AI13" s="1">
        <v>106.65397027272058</v>
      </c>
      <c r="AJ13" s="1">
        <f>C13</f>
        <v>100</v>
      </c>
    </row>
    <row r="15" spans="1:36" x14ac:dyDescent="0.3">
      <c r="E15" t="s">
        <v>9</v>
      </c>
      <c r="G15" s="1">
        <f>G13+(($C$10*$C$5)/($C$9*$C$8))*((H13-2*G13+F13)/($C$4^2))</f>
        <v>293.09520127191479</v>
      </c>
      <c r="H15" s="1">
        <f t="shared" ref="H15:AI15" si="1">H13+(($C$10*$C$5)/($C$9*$C$8))*((I13-2*H13+G13)/($C$4^2))</f>
        <v>286.42920961644847</v>
      </c>
      <c r="I15" s="1">
        <f t="shared" si="1"/>
        <v>279.7638910587898</v>
      </c>
      <c r="J15" s="1">
        <f t="shared" si="1"/>
        <v>273.09924177757739</v>
      </c>
      <c r="K15" s="1">
        <f t="shared" si="1"/>
        <v>266.43525605431307</v>
      </c>
      <c r="L15" s="1">
        <f t="shared" si="1"/>
        <v>259.7719262895713</v>
      </c>
      <c r="M15" s="1">
        <f t="shared" si="1"/>
        <v>253.10924302454123</v>
      </c>
      <c r="N15" s="1">
        <f t="shared" si="1"/>
        <v>246.44719496783796</v>
      </c>
      <c r="O15" s="1">
        <f t="shared" si="1"/>
        <v>239.78576902750996</v>
      </c>
      <c r="P15" s="1">
        <f t="shared" si="1"/>
        <v>233.12495034814879</v>
      </c>
      <c r="Q15" s="1">
        <f t="shared" si="1"/>
        <v>226.46472235299939</v>
      </c>
      <c r="R15" s="1">
        <f t="shared" si="1"/>
        <v>219.80506679094739</v>
      </c>
      <c r="S15" s="1">
        <f t="shared" si="1"/>
        <v>213.14596378825553</v>
      </c>
      <c r="T15" s="1">
        <f t="shared" si="1"/>
        <v>206.48739190489593</v>
      </c>
      <c r="U15" s="1">
        <f t="shared" si="1"/>
        <v>199.82932819532644</v>
      </c>
      <c r="V15" s="1">
        <f t="shared" si="1"/>
        <v>193.17174827352989</v>
      </c>
      <c r="W15" s="1">
        <f t="shared" si="1"/>
        <v>186.51462638214133</v>
      </c>
      <c r="X15" s="1">
        <f t="shared" si="1"/>
        <v>179.85793546545756</v>
      </c>
      <c r="Y15" s="1">
        <f t="shared" si="1"/>
        <v>173.2016472461321</v>
      </c>
      <c r="Z15" s="1">
        <f t="shared" si="1"/>
        <v>166.5457323053277</v>
      </c>
      <c r="AA15" s="1">
        <f t="shared" si="1"/>
        <v>159.89016016610992</v>
      </c>
      <c r="AB15" s="1">
        <f t="shared" si="1"/>
        <v>153.2348993798347</v>
      </c>
      <c r="AC15" s="1">
        <f t="shared" si="1"/>
        <v>146.57991761529553</v>
      </c>
      <c r="AD15" s="1">
        <f t="shared" si="1"/>
        <v>139.9251817503671</v>
      </c>
      <c r="AE15" s="1">
        <f t="shared" si="1"/>
        <v>133.27065796589631</v>
      </c>
      <c r="AF15" s="1">
        <f t="shared" si="1"/>
        <v>126.6163118415637</v>
      </c>
      <c r="AG15" s="1">
        <f t="shared" si="1"/>
        <v>119.96210845345394</v>
      </c>
      <c r="AH15" s="1">
        <f t="shared" si="1"/>
        <v>113.30801247304949</v>
      </c>
      <c r="AI15" s="1">
        <f t="shared" si="1"/>
        <v>106.65398826737464</v>
      </c>
    </row>
    <row r="16" spans="1:36" x14ac:dyDescent="0.3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Dude 21</dc:creator>
  <cp:lastModifiedBy>Dude 21</cp:lastModifiedBy>
  <dcterms:created xsi:type="dcterms:W3CDTF">2021-09-15T09:42:45Z</dcterms:created>
  <dcterms:modified xsi:type="dcterms:W3CDTF">2021-09-15T11:13:00Z</dcterms:modified>
</cp:coreProperties>
</file>