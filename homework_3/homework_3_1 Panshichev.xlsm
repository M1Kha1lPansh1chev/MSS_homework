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ude 21\Desktop\УчЁба\МСС\"/>
    </mc:Choice>
  </mc:AlternateContent>
  <xr:revisionPtr revIDLastSave="0" documentId="8_{16DB180D-6009-4154-A7B0-653FCE552B90}" xr6:coauthVersionLast="37" xr6:coauthVersionMax="37" xr10:uidLastSave="{00000000-0000-0000-0000-000000000000}"/>
  <bookViews>
    <workbookView xWindow="0" yWindow="0" windowWidth="23040" windowHeight="9060" activeTab="1" xr2:uid="{76475AEC-F8D6-4668-943C-A83C946F8CA6}"/>
  </bookViews>
  <sheets>
    <sheet name="Явная схема" sheetId="2" r:id="rId1"/>
    <sheet name="Неявная схема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4" l="1"/>
  <c r="C18" i="4"/>
  <c r="G19" i="4"/>
  <c r="I21" i="4"/>
  <c r="H21" i="4"/>
  <c r="G21" i="4"/>
  <c r="AI20" i="4"/>
  <c r="C5" i="4" l="1"/>
  <c r="AJ15" i="4" l="1"/>
  <c r="F20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F21" i="4"/>
  <c r="C19" i="4"/>
  <c r="AJ13" i="4"/>
  <c r="F13" i="4"/>
  <c r="C4" i="4"/>
  <c r="H19" i="4" l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F13" i="2"/>
  <c r="AH19" i="4" l="1"/>
  <c r="AJ13" i="2"/>
  <c r="C4" i="2"/>
  <c r="AI19" i="4" l="1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E15" i="2" l="1"/>
  <c r="W15" i="2"/>
  <c r="O15" i="2"/>
  <c r="G15" i="2"/>
  <c r="AD15" i="2"/>
  <c r="V15" i="2"/>
  <c r="N15" i="2"/>
  <c r="AB15" i="2"/>
  <c r="T15" i="2"/>
  <c r="L15" i="2"/>
  <c r="S15" i="2"/>
  <c r="AF15" i="2"/>
  <c r="P15" i="2"/>
  <c r="AC15" i="2"/>
  <c r="U15" i="2"/>
  <c r="M15" i="2"/>
  <c r="AI15" i="2"/>
  <c r="AA15" i="2"/>
  <c r="K15" i="2"/>
  <c r="AH15" i="2"/>
  <c r="Z15" i="2"/>
  <c r="R15" i="2"/>
  <c r="J15" i="2"/>
  <c r="AG15" i="2"/>
  <c r="Y15" i="2"/>
  <c r="Q15" i="2"/>
  <c r="I15" i="2"/>
  <c r="X15" i="2"/>
  <c r="H15" i="2"/>
  <c r="G20" i="4"/>
  <c r="H20" i="4" s="1"/>
  <c r="I20" i="4" s="1"/>
  <c r="J20" i="4" s="1"/>
  <c r="K20" i="4" s="1"/>
  <c r="L20" i="4" s="1"/>
  <c r="M20" i="4" s="1"/>
  <c r="N20" i="4" s="1"/>
  <c r="O20" i="4" s="1"/>
  <c r="P20" i="4" s="1"/>
  <c r="Q20" i="4" s="1"/>
  <c r="R20" i="4" s="1"/>
  <c r="S20" i="4" s="1"/>
  <c r="T20" i="4" s="1"/>
  <c r="U20" i="4" s="1"/>
  <c r="V20" i="4" s="1"/>
  <c r="W20" i="4" s="1"/>
  <c r="X20" i="4" s="1"/>
  <c r="Y20" i="4" s="1"/>
  <c r="Z20" i="4" s="1"/>
  <c r="AA20" i="4" s="1"/>
  <c r="AB20" i="4" s="1"/>
  <c r="AC20" i="4" s="1"/>
  <c r="AD20" i="4" s="1"/>
  <c r="AE20" i="4" s="1"/>
  <c r="AF20" i="4" s="1"/>
  <c r="AG20" i="4" s="1"/>
  <c r="AH20" i="4" s="1"/>
  <c r="AI15" i="4" s="1"/>
  <c r="AH15" i="4" s="1"/>
  <c r="AG15" i="4" s="1"/>
  <c r="AF15" i="4" s="1"/>
  <c r="AE15" i="4" s="1"/>
  <c r="AD15" i="4" s="1"/>
  <c r="AC15" i="4" s="1"/>
  <c r="AB15" i="4" s="1"/>
  <c r="AA15" i="4" s="1"/>
  <c r="Z15" i="4" s="1"/>
  <c r="Y15" i="4" s="1"/>
  <c r="X15" i="4" s="1"/>
  <c r="W15" i="4" s="1"/>
  <c r="V15" i="4" s="1"/>
  <c r="U15" i="4" s="1"/>
  <c r="T15" i="4" s="1"/>
  <c r="S15" i="4" s="1"/>
  <c r="R15" i="4" s="1"/>
  <c r="Q15" i="4" s="1"/>
  <c r="P15" i="4" s="1"/>
  <c r="O15" i="4" s="1"/>
  <c r="N15" i="4" s="1"/>
  <c r="M15" i="4" s="1"/>
  <c r="L15" i="4" s="1"/>
  <c r="K15" i="4" s="1"/>
  <c r="J15" i="4" s="1"/>
  <c r="I15" i="4" s="1"/>
  <c r="H15" i="4" s="1"/>
  <c r="G15" i="4" s="1"/>
</calcChain>
</file>

<file path=xl/sharedStrings.xml><?xml version="1.0" encoding="utf-8"?>
<sst xmlns="http://schemas.openxmlformats.org/spreadsheetml/2006/main" count="32" uniqueCount="19">
  <si>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</si>
  <si>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</si>
  <si>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</si>
  <si>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</si>
  <si>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</si>
  <si>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</si>
  <si>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</si>
  <si>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</si>
  <si>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</si>
  <si>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</si>
  <si>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q</t>
  </si>
  <si>
    <t>T_start</t>
  </si>
  <si>
    <t>A</t>
  </si>
  <si>
    <t>B</t>
  </si>
  <si>
    <t>C</t>
  </si>
  <si>
    <t>alfa</t>
  </si>
  <si>
    <t>beta</t>
  </si>
  <si>
    <t>F</t>
  </si>
  <si>
    <t>Нужно ли?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</si>
</sst>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5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5624248898385"/>
          <c:y val="6.3935118110236222E-2"/>
          <c:w val="0.83195900668513323"/>
          <c:h val="0.80506639565784566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7.0633572470858427E+52</c:v>
                </c:pt>
                <c:pt idx="2">
                  <c:v>-1.3928723962987097E+53</c:v>
                </c:pt>
                <c:pt idx="3">
                  <c:v>2.0408864767509491E+53</c:v>
                </c:pt>
                <c:pt idx="4">
                  <c:v>-2.6337212011216783E+53</c:v>
                </c:pt>
                <c:pt idx="5">
                  <c:v>3.1576172958376463E+53</c:v>
                </c:pt>
                <c:pt idx="6">
                  <c:v>-3.60232195979857E+53</c:v>
                </c:pt>
                <c:pt idx="7">
                  <c:v>3.9614354849516147E+53</c:v>
                </c:pt>
                <c:pt idx="8">
                  <c:v>-4.2324787759536493E+53</c:v>
                </c:pt>
                <c:pt idx="9">
                  <c:v>4.4166897427962169E+53</c:v>
                </c:pt>
                <c:pt idx="10">
                  <c:v>-4.5185796005254865E+53</c:v>
                </c:pt>
                <c:pt idx="11">
                  <c:v>4.5452993015636589E+53</c:v>
                </c:pt>
                <c:pt idx="12">
                  <c:v>-4.5058799365013709E+53</c:v>
                </c:pt>
                <c:pt idx="13">
                  <c:v>4.4104179192123726E+53</c:v>
                </c:pt>
                <c:pt idx="14">
                  <c:v>-4.2692758081969138E+53</c:v>
                </c:pt>
                <c:pt idx="15">
                  <c:v>4.0923631148455166E+53</c:v>
                </c:pt>
                <c:pt idx="16">
                  <c:v>-3.8885494434042591E+53</c:v>
                </c:pt>
                <c:pt idx="17">
                  <c:v>3.6652463013744215E+53</c:v>
                </c:pt>
                <c:pt idx="18">
                  <c:v>-3.4281756999899659E+53</c:v>
                </c:pt>
                <c:pt idx="19">
                  <c:v>3.1813251021465336E+53</c:v>
                </c:pt>
                <c:pt idx="20">
                  <c:v>-2.9270711348830328E+53</c:v>
                </c:pt>
                <c:pt idx="21">
                  <c:v>2.6664402682179251E+53</c:v>
                </c:pt>
                <c:pt idx="22">
                  <c:v>-2.3994644963168562E+53</c:v>
                </c:pt>
                <c:pt idx="23">
                  <c:v>2.1255846166211316E+53</c:v>
                </c:pt>
                <c:pt idx="24">
                  <c:v>-1.8440531910939454E+53</c:v>
                </c:pt>
                <c:pt idx="25">
                  <c:v>1.5542934394436472E+53</c:v>
                </c:pt>
                <c:pt idx="26">
                  <c:v>-1.2561785027281833E+53</c:v>
                </c:pt>
                <c:pt idx="27">
                  <c:v>9.5020674977730389E+52</c:v>
                </c:pt>
                <c:pt idx="28">
                  <c:v>-6.3756187669220833E+52</c:v>
                </c:pt>
                <c:pt idx="29">
                  <c:v>3.2006015506589427E+52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F1-40AF-9178-3CCF41ECE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383759"/>
        <c:axId val="690142159"/>
      </c:scatterChart>
      <c:valAx>
        <c:axId val="1055383759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/>
                  <a:t>L(m)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0142159"/>
        <c:crosses val="autoZero"/>
        <c:crossBetween val="midCat"/>
      </c:valAx>
      <c:valAx>
        <c:axId val="690142159"/>
        <c:scaling>
          <c:orientation val="minMax"/>
          <c:min val="-5.0000000000000004E+5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/>
                  <a:t>T(`C)</a:t>
                </a:r>
              </a:p>
            </c:rich>
          </c:tx>
          <c:layout>
            <c:manualLayout>
              <c:xMode val="edge"/>
              <c:yMode val="edge"/>
              <c:x val="0"/>
              <c:y val="0.4202414253856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55383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287.1925580024872</c:v>
                </c:pt>
                <c:pt idx="2">
                  <c:v>274.45389945090841</c:v>
                </c:pt>
                <c:pt idx="3">
                  <c:v>261.85198771975558</c:v>
                </c:pt>
                <c:pt idx="4">
                  <c:v>249.45315800297954</c:v>
                </c:pt>
                <c:pt idx="5">
                  <c:v>237.32133286127006</c:v>
                </c:pt>
                <c:pt idx="6">
                  <c:v>225.51727259277288</c:v>
                </c:pt>
                <c:pt idx="7">
                  <c:v>214.09787082745635</c:v>
                </c:pt>
                <c:pt idx="8">
                  <c:v>203.11550476569897</c:v>
                </c:pt>
                <c:pt idx="9">
                  <c:v>192.61744832326787</c:v>
                </c:pt>
                <c:pt idx="10">
                  <c:v>182.64535514710548</c:v>
                </c:pt>
                <c:pt idx="11">
                  <c:v>173.23481707220088</c:v>
                </c:pt>
                <c:pt idx="12">
                  <c:v>164.41500214384996</c:v>
                </c:pt>
                <c:pt idx="13">
                  <c:v>156.20837487605183</c:v>
                </c:pt>
                <c:pt idx="14">
                  <c:v>148.63049999768077</c:v>
                </c:pt>
                <c:pt idx="15">
                  <c:v>141.68992959160192</c:v>
                </c:pt>
                <c:pt idx="16">
                  <c:v>135.38817229098748</c:v>
                </c:pt>
                <c:pt idx="17">
                  <c:v>129.7197420882992</c:v>
                </c:pt>
                <c:pt idx="18">
                  <c:v>124.67228335523129</c:v>
                </c:pt>
                <c:pt idx="19">
                  <c:v>120.22676787840741</c:v>
                </c:pt>
                <c:pt idx="20">
                  <c:v>116.35775909043107</c:v>
                </c:pt>
                <c:pt idx="21">
                  <c:v>113.03373821655737</c:v>
                </c:pt>
                <c:pt idx="22">
                  <c:v>110.2174867549019</c:v>
                </c:pt>
                <c:pt idx="23">
                  <c:v>107.86651954830063</c:v>
                </c:pt>
                <c:pt idx="24">
                  <c:v>105.93356266975184</c:v>
                </c:pt>
                <c:pt idx="25">
                  <c:v>104.36707040857154</c:v>
                </c:pt>
                <c:pt idx="26">
                  <c:v>103.11177578665178</c:v>
                </c:pt>
                <c:pt idx="27">
                  <c:v>102.10926922835259</c:v>
                </c:pt>
                <c:pt idx="28">
                  <c:v>101.29860022873005</c:v>
                </c:pt>
                <c:pt idx="29">
                  <c:v>100.61689708957026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E5-4AEA-832E-50F610B80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9508751"/>
        <c:axId val="1929777983"/>
      </c:scatterChart>
      <c:valAx>
        <c:axId val="203950875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u="none" strike="noStrike" baseline="0">
                    <a:effectLst/>
                  </a:rPr>
                  <a:t>L(m</a:t>
                </a:r>
                <a:r>
                  <a:rPr lang="ru-RU" sz="1400" b="0" i="0" u="none" strike="noStrike" baseline="0">
                    <a:effectLst/>
                  </a:rPr>
                  <a:t>)</a:t>
                </a:r>
                <a:endParaRPr lang="ru-RU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77983"/>
        <c:crosses val="autoZero"/>
        <c:crossBetween val="midCat"/>
      </c:valAx>
      <c:valAx>
        <c:axId val="192977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T(`C)</a:t>
                </a:r>
                <a:endParaRPr lang="ru-RU" sz="1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39508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22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195943</xdr:colOff>
      <xdr:row>16</xdr:row>
      <xdr:rowOff>38098</xdr:rowOff>
    </xdr:from>
    <xdr:to>
      <xdr:col>20</xdr:col>
      <xdr:colOff>10886</xdr:colOff>
      <xdr:row>54</xdr:row>
      <xdr:rowOff>152399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8B50D5BC-95BC-45C1-B71D-F3495C4E2C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22</xdr:row>
      <xdr:rowOff>15240</xdr:rowOff>
    </xdr:from>
    <xdr:to>
      <xdr:col>11</xdr:col>
      <xdr:colOff>586740</xdr:colOff>
      <xdr:row>49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805E859-6C8E-4C36-B60D-6E4F814F7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D6093-BEFA-4F0E-831D-8DF71DEDEB9A}">
  <dimension ref="B3:AJ15"/>
  <sheetViews>
    <sheetView zoomScale="70" zoomScaleNormal="70" workbookViewId="0">
      <selection activeCell="H20" sqref="H20"/>
    </sheetView>
  </sheetViews>
  <sheetFormatPr defaultRowHeight="14.4" x14ac:dyDescent="0.3"/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v>2</v>
      </c>
    </row>
    <row r="6" spans="2:36" x14ac:dyDescent="0.3">
      <c r="B6" s="2" t="s">
        <v>3</v>
      </c>
      <c r="C6" s="2">
        <v>60</v>
      </c>
      <c r="D6">
        <v>61</v>
      </c>
    </row>
    <row r="7" spans="2:36" x14ac:dyDescent="0.3">
      <c r="B7" s="5"/>
      <c r="C7" s="5"/>
      <c r="D7" s="4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5"/>
      <c r="C11" s="5"/>
      <c r="D11" s="4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11</v>
      </c>
      <c r="C12" s="2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8</v>
      </c>
      <c r="C13" s="2">
        <v>100</v>
      </c>
      <c r="E13" t="s">
        <v>7</v>
      </c>
      <c r="F13" s="1">
        <f>C12</f>
        <v>300</v>
      </c>
      <c r="G13" s="1">
        <v>7.0633572470858427E+52</v>
      </c>
      <c r="H13" s="1">
        <v>-1.3928723962987097E+53</v>
      </c>
      <c r="I13" s="1">
        <v>2.0408864767509491E+53</v>
      </c>
      <c r="J13" s="1">
        <v>-2.6337212011216783E+53</v>
      </c>
      <c r="K13" s="1">
        <v>3.1576172958376463E+53</v>
      </c>
      <c r="L13" s="1">
        <v>-3.60232195979857E+53</v>
      </c>
      <c r="M13" s="1">
        <v>3.9614354849516147E+53</v>
      </c>
      <c r="N13" s="1">
        <v>-4.2324787759536493E+53</v>
      </c>
      <c r="O13" s="1">
        <v>4.4166897427962169E+53</v>
      </c>
      <c r="P13" s="1">
        <v>-4.5185796005254865E+53</v>
      </c>
      <c r="Q13" s="1">
        <v>4.5452993015636589E+53</v>
      </c>
      <c r="R13" s="1">
        <v>-4.5058799365013709E+53</v>
      </c>
      <c r="S13" s="1">
        <v>4.4104179192123726E+53</v>
      </c>
      <c r="T13" s="1">
        <v>-4.2692758081969138E+53</v>
      </c>
      <c r="U13" s="1">
        <v>4.0923631148455166E+53</v>
      </c>
      <c r="V13" s="1">
        <v>-3.8885494434042591E+53</v>
      </c>
      <c r="W13" s="1">
        <v>3.6652463013744215E+53</v>
      </c>
      <c r="X13" s="1">
        <v>-3.4281756999899659E+53</v>
      </c>
      <c r="Y13" s="1">
        <v>3.1813251021465336E+53</v>
      </c>
      <c r="Z13" s="1">
        <v>-2.9270711348830328E+53</v>
      </c>
      <c r="AA13" s="1">
        <v>2.6664402682179251E+53</v>
      </c>
      <c r="AB13" s="1">
        <v>-2.3994644963168562E+53</v>
      </c>
      <c r="AC13" s="1">
        <v>2.1255846166211316E+53</v>
      </c>
      <c r="AD13" s="1">
        <v>-1.8440531910939454E+53</v>
      </c>
      <c r="AE13" s="1">
        <v>1.5542934394436472E+53</v>
      </c>
      <c r="AF13" s="1">
        <v>-1.2561785027281833E+53</v>
      </c>
      <c r="AG13" s="1">
        <v>9.5020674977730389E+52</v>
      </c>
      <c r="AH13" s="1">
        <v>-6.3756187669220833E+52</v>
      </c>
      <c r="AI13" s="1">
        <v>3.2006015506589427E+52</v>
      </c>
      <c r="AJ13" s="1">
        <f>C13</f>
        <v>100</v>
      </c>
    </row>
    <row r="15" spans="2:36" x14ac:dyDescent="0.3">
      <c r="E15" t="s">
        <v>9</v>
      </c>
      <c r="G15" s="1">
        <f>G13+(($C$10*$C$5)/($C$9*$C$8))*((H13-2*G13+F13)/($C$4^2))</f>
        <v>-5.7679962269434411E+53</v>
      </c>
      <c r="H15" s="1">
        <f t="shared" ref="H15:AI15" si="1">H13+(($C$10*$C$5)/($C$9*$C$8))*((I13-2*H13+G13)/($C$4^2))</f>
        <v>1.1375512974601947E+54</v>
      </c>
      <c r="I15" s="1">
        <f t="shared" si="1"/>
        <v>-1.6670728640762015E+54</v>
      </c>
      <c r="J15" s="1">
        <f t="shared" si="1"/>
        <v>2.1518462279259742E+54</v>
      </c>
      <c r="K15" s="1">
        <f t="shared" si="1"/>
        <v>-2.580686982553667E+54</v>
      </c>
      <c r="L15" s="1">
        <f t="shared" si="1"/>
        <v>2.9452362733400801E+54</v>
      </c>
      <c r="M15" s="1">
        <f t="shared" si="1"/>
        <v>-3.2402422297330185E+54</v>
      </c>
      <c r="N15" s="1">
        <f t="shared" si="1"/>
        <v>3.4636173792481254E+54</v>
      </c>
      <c r="O15" s="1">
        <f t="shared" si="1"/>
        <v>-3.6162782246599705E+54</v>
      </c>
      <c r="P15" s="1">
        <f t="shared" si="1"/>
        <v>3.7017916350422617E+54</v>
      </c>
      <c r="Q15" s="1">
        <f t="shared" si="1"/>
        <v>-3.7258681021869048E+54</v>
      </c>
      <c r="R15" s="1">
        <f t="shared" si="1"/>
        <v>3.6957528741449632E+54</v>
      </c>
      <c r="S15" s="1">
        <f t="shared" si="1"/>
        <v>-3.6195716503379218E+54</v>
      </c>
      <c r="T15" s="1">
        <f t="shared" si="1"/>
        <v>3.5056876462076266E+54</v>
      </c>
      <c r="U15" s="1">
        <f t="shared" si="1"/>
        <v>-3.3621217226598029E+54</v>
      </c>
      <c r="V15" s="1">
        <f t="shared" si="1"/>
        <v>3.1960777409738325E+54</v>
      </c>
      <c r="W15" s="1">
        <f t="shared" si="1"/>
        <v>-3.013602542049419E+54</v>
      </c>
      <c r="X15" s="1">
        <f t="shared" si="1"/>
        <v>2.8193953846550534E+54</v>
      </c>
      <c r="Y15" s="1">
        <f t="shared" si="1"/>
        <v>-2.6167668065159763E+54</v>
      </c>
      <c r="Z15" s="1">
        <f t="shared" si="1"/>
        <v>2.4077331111572012E+54</v>
      </c>
      <c r="AA15" s="1">
        <f t="shared" si="1"/>
        <v>-2.1932212426326078E+54</v>
      </c>
      <c r="AB15" s="1">
        <f t="shared" si="1"/>
        <v>1.9733505990158759E+54</v>
      </c>
      <c r="AC15" s="1">
        <f t="shared" si="1"/>
        <v>-1.74775390464244E+54</v>
      </c>
      <c r="AD15" s="1">
        <f t="shared" si="1"/>
        <v>1.5158987820258363E+54</v>
      </c>
      <c r="AE15" s="1">
        <f t="shared" si="1"/>
        <v>-1.2773749420655017E+54</v>
      </c>
      <c r="AF15" s="1">
        <f t="shared" si="1"/>
        <v>1.032118425421947E+54</v>
      </c>
      <c r="AG15" s="1">
        <f t="shared" si="1"/>
        <v>-7.8055329709342301E+53</v>
      </c>
      <c r="AH15" s="1">
        <f t="shared" si="1"/>
        <v>5.2364165653715163E+53</v>
      </c>
      <c r="AI15" s="1">
        <f t="shared" si="1"/>
        <v>-2.6284371991433289E+53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72D8-5E95-4926-BA13-E835AE1D6A25}">
  <dimension ref="B3:AJ21"/>
  <sheetViews>
    <sheetView tabSelected="1" workbookViewId="0">
      <selection activeCell="O37" sqref="O37"/>
    </sheetView>
  </sheetViews>
  <sheetFormatPr defaultRowHeight="14.4" x14ac:dyDescent="0.3"/>
  <cols>
    <col min="6" max="6" width="11.66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6">
        <f>C3/30</f>
        <v>3.3333333333333335E-3</v>
      </c>
    </row>
    <row r="5" spans="2:36" x14ac:dyDescent="0.3">
      <c r="B5" s="2" t="s">
        <v>2</v>
      </c>
      <c r="C5" s="3">
        <f>'Явная схема'!C5</f>
        <v>2</v>
      </c>
    </row>
    <row r="6" spans="2:36" x14ac:dyDescent="0.3">
      <c r="B6" s="2" t="s">
        <v>3</v>
      </c>
      <c r="C6" s="2">
        <v>60</v>
      </c>
      <c r="D6">
        <v>61</v>
      </c>
    </row>
    <row r="7" spans="2:36" x14ac:dyDescent="0.3">
      <c r="B7" s="5"/>
      <c r="C7" s="5"/>
      <c r="D7" s="4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5"/>
      <c r="C11" s="5"/>
      <c r="D11" s="4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11</v>
      </c>
      <c r="C12" s="2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8</v>
      </c>
      <c r="C13" s="2">
        <v>100</v>
      </c>
      <c r="E13" t="s">
        <v>7</v>
      </c>
      <c r="F13" s="1">
        <f>C12</f>
        <v>300</v>
      </c>
      <c r="G13" s="1">
        <v>287.1925580024872</v>
      </c>
      <c r="H13" s="1">
        <v>274.45389945090841</v>
      </c>
      <c r="I13" s="1">
        <v>261.85198771975558</v>
      </c>
      <c r="J13" s="1">
        <v>249.45315800297954</v>
      </c>
      <c r="K13" s="1">
        <v>237.32133286127006</v>
      </c>
      <c r="L13" s="1">
        <v>225.51727259277288</v>
      </c>
      <c r="M13" s="1">
        <v>214.09787082745635</v>
      </c>
      <c r="N13" s="1">
        <v>203.11550476569897</v>
      </c>
      <c r="O13" s="1">
        <v>192.61744832326787</v>
      </c>
      <c r="P13" s="1">
        <v>182.64535514710548</v>
      </c>
      <c r="Q13" s="1">
        <v>173.23481707220088</v>
      </c>
      <c r="R13" s="1">
        <v>164.41500214384996</v>
      </c>
      <c r="S13" s="1">
        <v>156.20837487605183</v>
      </c>
      <c r="T13" s="1">
        <v>148.63049999768077</v>
      </c>
      <c r="U13" s="1">
        <v>141.68992959160192</v>
      </c>
      <c r="V13" s="1">
        <v>135.38817229098748</v>
      </c>
      <c r="W13" s="1">
        <v>129.7197420882992</v>
      </c>
      <c r="X13" s="1">
        <v>124.67228335523129</v>
      </c>
      <c r="Y13" s="1">
        <v>120.22676787840741</v>
      </c>
      <c r="Z13" s="1">
        <v>116.35775909043107</v>
      </c>
      <c r="AA13" s="1">
        <v>113.03373821655737</v>
      </c>
      <c r="AB13" s="1">
        <v>110.2174867549019</v>
      </c>
      <c r="AC13" s="1">
        <v>107.86651954830063</v>
      </c>
      <c r="AD13" s="1">
        <v>105.93356266975184</v>
      </c>
      <c r="AE13" s="1">
        <v>104.36707040857154</v>
      </c>
      <c r="AF13" s="1">
        <v>103.11177578665178</v>
      </c>
      <c r="AG13" s="1">
        <v>102.10926922835259</v>
      </c>
      <c r="AH13" s="1">
        <v>101.29860022873005</v>
      </c>
      <c r="AI13" s="1">
        <v>100.61689708957026</v>
      </c>
      <c r="AJ13" s="1">
        <f>C13</f>
        <v>100</v>
      </c>
    </row>
    <row r="15" spans="2:36" x14ac:dyDescent="0.3">
      <c r="E15" t="s">
        <v>9</v>
      </c>
      <c r="G15" s="1">
        <f t="shared" ref="G15:AH15" si="1">G19*H15+G20</f>
        <v>287.34706175740996</v>
      </c>
      <c r="H15" s="1">
        <f t="shared" si="1"/>
        <v>274.76107514195303</v>
      </c>
      <c r="I15" s="1">
        <f t="shared" si="1"/>
        <v>262.30819799261553</v>
      </c>
      <c r="J15" s="1">
        <f t="shared" si="1"/>
        <v>250.05301196151726</v>
      </c>
      <c r="K15" s="1">
        <f t="shared" si="1"/>
        <v>238.05776264578537</v>
      </c>
      <c r="L15" s="1">
        <f t="shared" si="1"/>
        <v>226.38163290334353</v>
      </c>
      <c r="M15" s="1">
        <f t="shared" si="1"/>
        <v>215.08005929548236</v>
      </c>
      <c r="N15" s="1">
        <f t="shared" si="1"/>
        <v>204.2041006904324</v>
      </c>
      <c r="O15" s="1">
        <f t="shared" si="1"/>
        <v>193.79986698610031</v>
      </c>
      <c r="P15" s="1">
        <f t="shared" si="1"/>
        <v>183.9080147023289</v>
      </c>
      <c r="Q15" s="1">
        <f t="shared" si="1"/>
        <v>174.5633148924876</v>
      </c>
      <c r="R15" s="1">
        <f t="shared" si="1"/>
        <v>165.79429747143723</v>
      </c>
      <c r="S15" s="1">
        <f t="shared" si="1"/>
        <v>157.62297469234139</v>
      </c>
      <c r="T15" s="1">
        <f t="shared" si="1"/>
        <v>150.06464516697102</v>
      </c>
      <c r="U15" s="1">
        <f t="shared" si="1"/>
        <v>143.12777854829309</v>
      </c>
      <c r="V15" s="1">
        <f t="shared" si="1"/>
        <v>136.813979810848</v>
      </c>
      <c r="W15" s="1">
        <f t="shared" si="1"/>
        <v>131.11803099867578</v>
      </c>
      <c r="X15" s="1">
        <f t="shared" si="1"/>
        <v>126.02800738100007</v>
      </c>
      <c r="Y15" s="1">
        <f t="shared" si="1"/>
        <v>121.52546417449084</v>
      </c>
      <c r="Z15" s="1">
        <f t="shared" si="1"/>
        <v>117.58568936295106</v>
      </c>
      <c r="AA15" s="1">
        <f t="shared" si="1"/>
        <v>114.17801766950328</v>
      </c>
      <c r="AB15" s="1">
        <f t="shared" si="1"/>
        <v>111.26620040566539</v>
      </c>
      <c r="AC15" s="1">
        <f t="shared" si="1"/>
        <v>108.80882572382498</v>
      </c>
      <c r="AD15" s="1">
        <f t="shared" si="1"/>
        <v>106.7597837180451</v>
      </c>
      <c r="AE15" s="1">
        <f t="shared" si="1"/>
        <v>105.06877083319232</v>
      </c>
      <c r="AF15" s="1">
        <f t="shared" si="1"/>
        <v>103.68182813234188</v>
      </c>
      <c r="AG15" s="1">
        <f t="shared" si="1"/>
        <v>102.54190811462379</v>
      </c>
      <c r="AH15" s="1">
        <f t="shared" si="1"/>
        <v>101.58946494762324</v>
      </c>
      <c r="AI15" s="1">
        <f>AI19*AJ15+AI20</f>
        <v>100.76306315880973</v>
      </c>
      <c r="AJ15" s="1">
        <f>AJ13</f>
        <v>100</v>
      </c>
    </row>
    <row r="17" spans="2:35" x14ac:dyDescent="0.3">
      <c r="B17" t="s">
        <v>12</v>
      </c>
      <c r="C17">
        <f>C10/(C4^2)</f>
        <v>4139999.9999999991</v>
      </c>
      <c r="E17" t="s">
        <v>10</v>
      </c>
      <c r="F17" t="s">
        <v>18</v>
      </c>
    </row>
    <row r="18" spans="2:35" x14ac:dyDescent="0.3">
      <c r="B18" t="s">
        <v>13</v>
      </c>
      <c r="C18">
        <f>(2*C10)/(C4^2)+((C9*C8)/C5)</f>
        <v>10073999.999999998</v>
      </c>
    </row>
    <row r="19" spans="2:35" x14ac:dyDescent="0.3">
      <c r="B19" t="s">
        <v>14</v>
      </c>
      <c r="C19">
        <f>C10/(C4^2)</f>
        <v>4139999.9999999991</v>
      </c>
      <c r="E19" t="s">
        <v>15</v>
      </c>
      <c r="F19">
        <v>0</v>
      </c>
      <c r="G19">
        <f>$C$17/($C$18-$C$19*F19)</f>
        <v>0.41095890410958902</v>
      </c>
      <c r="H19">
        <f t="shared" ref="H19:AI19" si="2">$C$17/($C$18-$C$19*G19)</f>
        <v>0.49446827726349057</v>
      </c>
      <c r="I19">
        <f t="shared" si="2"/>
        <v>0.51576565211146774</v>
      </c>
      <c r="J19">
        <f t="shared" si="2"/>
        <v>0.52149397895713612</v>
      </c>
      <c r="K19">
        <f t="shared" si="2"/>
        <v>0.52305649933975962</v>
      </c>
      <c r="L19">
        <f t="shared" si="2"/>
        <v>0.52348433598989241</v>
      </c>
      <c r="M19">
        <f t="shared" si="2"/>
        <v>0.52360160483419294</v>
      </c>
      <c r="N19">
        <f t="shared" si="2"/>
        <v>0.52363375707534621</v>
      </c>
      <c r="O19">
        <f t="shared" si="2"/>
        <v>0.52364257312109652</v>
      </c>
      <c r="P19">
        <f t="shared" si="2"/>
        <v>0.5236449905056163</v>
      </c>
      <c r="Q19">
        <f t="shared" si="2"/>
        <v>0.52364565336314417</v>
      </c>
      <c r="R19">
        <f t="shared" si="2"/>
        <v>0.52364583512190344</v>
      </c>
      <c r="S19">
        <f t="shared" si="2"/>
        <v>0.52364588496106157</v>
      </c>
      <c r="T19">
        <f t="shared" si="2"/>
        <v>0.52364589862720901</v>
      </c>
      <c r="U19">
        <f t="shared" si="2"/>
        <v>0.52364590237453534</v>
      </c>
      <c r="V19">
        <f t="shared" si="2"/>
        <v>0.52364590340207107</v>
      </c>
      <c r="W19">
        <f t="shared" si="2"/>
        <v>0.52364590368382657</v>
      </c>
      <c r="X19">
        <f t="shared" si="2"/>
        <v>0.52364590376108522</v>
      </c>
      <c r="Y19">
        <f t="shared" si="2"/>
        <v>0.52364590378227005</v>
      </c>
      <c r="Z19">
        <f t="shared" si="2"/>
        <v>0.52364590378807896</v>
      </c>
      <c r="AA19">
        <f t="shared" si="2"/>
        <v>0.5236459037896718</v>
      </c>
      <c r="AB19">
        <f t="shared" si="2"/>
        <v>0.52364590379010867</v>
      </c>
      <c r="AC19">
        <f t="shared" si="2"/>
        <v>0.52364590379022846</v>
      </c>
      <c r="AD19">
        <f t="shared" si="2"/>
        <v>0.52364590379026121</v>
      </c>
      <c r="AE19">
        <f t="shared" si="2"/>
        <v>0.52364590379027021</v>
      </c>
      <c r="AF19">
        <f t="shared" si="2"/>
        <v>0.52364590379027265</v>
      </c>
      <c r="AG19">
        <f t="shared" si="2"/>
        <v>0.52364590379027331</v>
      </c>
      <c r="AH19">
        <f t="shared" si="2"/>
        <v>0.52364590379027354</v>
      </c>
      <c r="AI19">
        <f t="shared" si="2"/>
        <v>0.52364590379027354</v>
      </c>
    </row>
    <row r="20" spans="2:35" x14ac:dyDescent="0.3">
      <c r="E20" t="s">
        <v>16</v>
      </c>
      <c r="F20">
        <f>F13</f>
        <v>300</v>
      </c>
      <c r="G20">
        <f>(F20*$C$19-G21)/($C$18-$C$19*F19)</f>
        <v>174.43155142510048</v>
      </c>
      <c r="H20">
        <f t="shared" ref="H20:AI20" si="3">(G20*$C$19-H21)/($C$18-$C$19*G19)</f>
        <v>145.05799236845382</v>
      </c>
      <c r="I20">
        <f t="shared" si="3"/>
        <v>133.3394432158469</v>
      </c>
      <c r="J20">
        <f t="shared" si="3"/>
        <v>125.90732209773316</v>
      </c>
      <c r="K20">
        <f t="shared" si="3"/>
        <v>119.64737822454398</v>
      </c>
      <c r="L20">
        <f t="shared" si="3"/>
        <v>113.79059087838128</v>
      </c>
      <c r="M20">
        <f t="shared" si="3"/>
        <v>108.15846446024882</v>
      </c>
      <c r="N20">
        <f t="shared" si="3"/>
        <v>102.72394821979834</v>
      </c>
      <c r="O20">
        <f t="shared" si="3"/>
        <v>97.497800949780355</v>
      </c>
      <c r="P20">
        <f t="shared" si="3"/>
        <v>92.498809332823313</v>
      </c>
      <c r="Q20">
        <f t="shared" si="3"/>
        <v>87.745851669173376</v>
      </c>
      <c r="R20">
        <f t="shared" si="3"/>
        <v>83.255683254267495</v>
      </c>
      <c r="S20">
        <f t="shared" si="3"/>
        <v>79.042240772515157</v>
      </c>
      <c r="T20">
        <f t="shared" si="3"/>
        <v>75.11637095053392</v>
      </c>
      <c r="U20">
        <f t="shared" si="3"/>
        <v>71.485698632790132</v>
      </c>
      <c r="V20">
        <f t="shared" si="3"/>
        <v>68.154560016245654</v>
      </c>
      <c r="W20">
        <f t="shared" si="3"/>
        <v>65.123981184180039</v>
      </c>
      <c r="X20">
        <f t="shared" si="3"/>
        <v>62.391695863363424</v>
      </c>
      <c r="Y20">
        <f t="shared" si="3"/>
        <v>59.95219959616707</v>
      </c>
      <c r="Z20">
        <f t="shared" si="3"/>
        <v>57.796838107672755</v>
      </c>
      <c r="AA20">
        <f t="shared" si="3"/>
        <v>55.913927596835876</v>
      </c>
      <c r="AB20">
        <f t="shared" si="3"/>
        <v>54.288904519172632</v>
      </c>
      <c r="AC20">
        <f t="shared" si="3"/>
        <v>52.904502290339934</v>
      </c>
      <c r="AD20">
        <f t="shared" si="3"/>
        <v>51.740952254966274</v>
      </c>
      <c r="AE20">
        <f t="shared" si="3"/>
        <v>50.776206234204693</v>
      </c>
      <c r="AF20">
        <f t="shared" si="3"/>
        <v>49.986177981280598</v>
      </c>
      <c r="AG20">
        <f t="shared" si="3"/>
        <v>49.345000926555329</v>
      </c>
      <c r="AH20">
        <f t="shared" si="3"/>
        <v>48.82529967115191</v>
      </c>
      <c r="AI20">
        <f>(AH20*$C$19-AI21)/($C$18-$C$19*AH19)</f>
        <v>48.398472779782381</v>
      </c>
    </row>
    <row r="21" spans="2:35" x14ac:dyDescent="0.3">
      <c r="E21" t="s">
        <v>17</v>
      </c>
      <c r="F21">
        <f>-(($C$9*$C$8)/$C$5)*F13</f>
        <v>-538200000</v>
      </c>
      <c r="G21">
        <f>-(($C$9*$C$8)/$C$5)*G13</f>
        <v>-515223449.05646205</v>
      </c>
      <c r="H21">
        <f>-(($C$9*$C$8)/$C$5)*H13</f>
        <v>-492370295.61492968</v>
      </c>
      <c r="I21">
        <f>-(($C$9*$C$8)/$C$5)*I13</f>
        <v>-469762465.9692415</v>
      </c>
      <c r="J21">
        <f t="shared" ref="G21:AI21" si="4">-(($C$9*$C$8)/$C$5)*J13</f>
        <v>-447518965.45734531</v>
      </c>
      <c r="K21">
        <f t="shared" si="4"/>
        <v>-425754471.15311849</v>
      </c>
      <c r="L21">
        <f t="shared" si="4"/>
        <v>-404577987.03143454</v>
      </c>
      <c r="M21">
        <f t="shared" si="4"/>
        <v>-384091580.26445669</v>
      </c>
      <c r="N21">
        <f t="shared" si="4"/>
        <v>-364389215.54966396</v>
      </c>
      <c r="O21">
        <f t="shared" si="4"/>
        <v>-345555702.29194254</v>
      </c>
      <c r="P21">
        <f t="shared" si="4"/>
        <v>-327665767.1339072</v>
      </c>
      <c r="Q21">
        <f t="shared" si="4"/>
        <v>-310783261.82752836</v>
      </c>
      <c r="R21">
        <f t="shared" si="4"/>
        <v>-294960513.84606683</v>
      </c>
      <c r="S21">
        <f t="shared" si="4"/>
        <v>-280237824.527637</v>
      </c>
      <c r="T21">
        <f t="shared" si="4"/>
        <v>-266643116.9958393</v>
      </c>
      <c r="U21">
        <f t="shared" si="4"/>
        <v>-254191733.68733385</v>
      </c>
      <c r="V21">
        <f t="shared" si="4"/>
        <v>-242886381.09003153</v>
      </c>
      <c r="W21">
        <f t="shared" si="4"/>
        <v>-232717217.30640876</v>
      </c>
      <c r="X21">
        <f t="shared" si="4"/>
        <v>-223662076.33928493</v>
      </c>
      <c r="Y21">
        <f t="shared" si="4"/>
        <v>-215686821.57386291</v>
      </c>
      <c r="Z21">
        <f t="shared" si="4"/>
        <v>-208745819.80823335</v>
      </c>
      <c r="AA21">
        <f t="shared" si="4"/>
        <v>-202782526.36050391</v>
      </c>
      <c r="AB21">
        <f t="shared" si="4"/>
        <v>-197730171.23829401</v>
      </c>
      <c r="AC21">
        <f t="shared" si="4"/>
        <v>-193512536.06965134</v>
      </c>
      <c r="AD21">
        <f t="shared" si="4"/>
        <v>-190044811.42953479</v>
      </c>
      <c r="AE21">
        <f t="shared" si="4"/>
        <v>-187234524.31297734</v>
      </c>
      <c r="AF21">
        <f t="shared" si="4"/>
        <v>-184982525.7612533</v>
      </c>
      <c r="AG21">
        <f t="shared" si="4"/>
        <v>-183184028.99566454</v>
      </c>
      <c r="AH21">
        <f t="shared" si="4"/>
        <v>-181729688.81034172</v>
      </c>
      <c r="AI21">
        <f t="shared" si="4"/>
        <v>-180506713.37868905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Dude 21</dc:creator>
  <cp:lastModifiedBy>Dude 21</cp:lastModifiedBy>
  <dcterms:created xsi:type="dcterms:W3CDTF">2021-09-15T09:42:45Z</dcterms:created>
  <dcterms:modified xsi:type="dcterms:W3CDTF">2021-10-14T19:15:05Z</dcterms:modified>
</cp:coreProperties>
</file>