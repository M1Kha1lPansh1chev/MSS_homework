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Dude 21\Desktop\Learning (tipo smart fella)\МСС\"/>
    </mc:Choice>
  </mc:AlternateContent>
  <xr:revisionPtr revIDLastSave="0" documentId="13_ncr:1_{570AF004-9F7E-4535-BE3B-B0EE99274CB2}" xr6:coauthVersionLast="37" xr6:coauthVersionMax="37" xr10:uidLastSave="{00000000-0000-0000-0000-000000000000}"/>
  <bookViews>
    <workbookView xWindow="0" yWindow="0" windowWidth="23040" windowHeight="9060" xr2:uid="{76475AEC-F8D6-4668-943C-A83C946F8CA6}"/>
  </bookViews>
  <sheets>
    <sheet name="Явная схема" sheetId="2" r:id="rId1"/>
    <sheet name="Неявная схема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17" i="4" l="1"/>
  <c r="C5" i="4" l="1"/>
  <c r="C18" i="4" l="1"/>
  <c r="G19" i="4" s="1"/>
  <c r="G21" i="4"/>
  <c r="H21" i="4"/>
  <c r="I21" i="4"/>
  <c r="AJ15" i="4"/>
  <c r="F20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F21" i="4"/>
  <c r="C19" i="4"/>
  <c r="AJ13" i="4"/>
  <c r="F13" i="4"/>
  <c r="C4" i="4"/>
  <c r="H19" i="4" l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F13" i="2"/>
  <c r="AH19" i="4" l="1"/>
  <c r="AJ13" i="2"/>
  <c r="C4" i="2"/>
  <c r="AI19" i="4" l="1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E15" i="2" l="1"/>
  <c r="W15" i="2"/>
  <c r="O15" i="2"/>
  <c r="G15" i="2"/>
  <c r="AD15" i="2"/>
  <c r="V15" i="2"/>
  <c r="N15" i="2"/>
  <c r="AB15" i="2"/>
  <c r="T15" i="2"/>
  <c r="L15" i="2"/>
  <c r="S15" i="2"/>
  <c r="AF15" i="2"/>
  <c r="P15" i="2"/>
  <c r="AC15" i="2"/>
  <c r="U15" i="2"/>
  <c r="M15" i="2"/>
  <c r="AI15" i="2"/>
  <c r="AA15" i="2"/>
  <c r="K15" i="2"/>
  <c r="AH15" i="2"/>
  <c r="Z15" i="2"/>
  <c r="R15" i="2"/>
  <c r="J15" i="2"/>
  <c r="AG15" i="2"/>
  <c r="Y15" i="2"/>
  <c r="Q15" i="2"/>
  <c r="I15" i="2"/>
  <c r="X15" i="2"/>
  <c r="H15" i="2"/>
  <c r="G20" i="4"/>
  <c r="H20" i="4" s="1"/>
  <c r="I20" i="4" s="1"/>
  <c r="J20" i="4" s="1"/>
  <c r="K20" i="4" s="1"/>
  <c r="L20" i="4" s="1"/>
  <c r="M20" i="4" s="1"/>
  <c r="N20" i="4" s="1"/>
  <c r="O20" i="4" s="1"/>
  <c r="P20" i="4" s="1"/>
  <c r="Q20" i="4" s="1"/>
  <c r="R20" i="4" s="1"/>
  <c r="S20" i="4" s="1"/>
  <c r="T20" i="4" s="1"/>
  <c r="U20" i="4" s="1"/>
  <c r="V20" i="4" s="1"/>
  <c r="W20" i="4" s="1"/>
  <c r="X20" i="4" s="1"/>
  <c r="Y20" i="4" s="1"/>
  <c r="Z20" i="4" s="1"/>
  <c r="AA20" i="4" s="1"/>
  <c r="AB20" i="4" s="1"/>
  <c r="AC20" i="4" s="1"/>
  <c r="AD20" i="4" s="1"/>
  <c r="AE20" i="4" s="1"/>
  <c r="AF20" i="4" s="1"/>
  <c r="AG20" i="4" s="1"/>
  <c r="AH20" i="4" s="1"/>
  <c r="AI20" i="4" l="1"/>
  <c r="AI15" i="4" s="1"/>
  <c r="AH15" i="4" s="1"/>
  <c r="AG15" i="4" s="1"/>
  <c r="AF15" i="4" s="1"/>
  <c r="AE15" i="4" s="1"/>
  <c r="AD15" i="4" s="1"/>
  <c r="AC15" i="4" s="1"/>
  <c r="AB15" i="4" s="1"/>
  <c r="AA15" i="4" s="1"/>
  <c r="Z15" i="4" s="1"/>
  <c r="Y15" i="4" s="1"/>
  <c r="X15" i="4" s="1"/>
  <c r="W15" i="4" s="1"/>
  <c r="V15" i="4" s="1"/>
  <c r="U15" i="4" s="1"/>
  <c r="T15" i="4" s="1"/>
  <c r="S15" i="4" s="1"/>
  <c r="R15" i="4" s="1"/>
  <c r="Q15" i="4" s="1"/>
  <c r="P15" i="4" s="1"/>
  <c r="O15" i="4" s="1"/>
  <c r="N15" i="4" s="1"/>
  <c r="M15" i="4" s="1"/>
  <c r="L15" i="4" s="1"/>
  <c r="K15" i="4" s="1"/>
  <c r="J15" i="4" s="1"/>
  <c r="I15" i="4" s="1"/>
  <c r="H15" i="4" s="1"/>
  <c r="G15" i="4" s="1"/>
</calcChain>
</file>

<file path=xl/sharedStrings.xml><?xml version="1.0" encoding="utf-8"?>
<sst xmlns="http://schemas.openxmlformats.org/spreadsheetml/2006/main" count="32" uniqueCount="19">
  <si>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</si>
  <si>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</si>
  <si>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</si>
  <si>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</si>
  <si>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</si>
  <si>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</si>
  <si>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</si>
  <si>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</si>
  <si>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</si>
  <si>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T_iter</t>
  </si>
  <si>
    <t>q</t>
  </si>
  <si>
    <t>T_start</t>
  </si>
  <si>
    <t>A</t>
  </si>
  <si>
    <t>B</t>
  </si>
  <si>
    <t>C</t>
  </si>
  <si>
    <t>alfa</t>
  </si>
  <si>
    <t>beta</t>
  </si>
  <si>
    <t>F</t>
  </si>
  <si>
    <t>Нужно ли?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</si>
</sst>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5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5624248898385"/>
          <c:y val="6.3935118110236222E-2"/>
          <c:w val="0.83195900668513323"/>
          <c:h val="0.80506639565784566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269.23577580095974</c:v>
                </c:pt>
                <c:pt idx="2">
                  <c:v>239.46949687021586</c:v>
                </c:pt>
                <c:pt idx="3">
                  <c:v>209.70321793947198</c:v>
                </c:pt>
                <c:pt idx="4">
                  <c:v>182.74843855570356</c:v>
                </c:pt>
                <c:pt idx="5">
                  <c:v>155.79365917193513</c:v>
                </c:pt>
                <c:pt idx="6">
                  <c:v>132.9744145991873</c:v>
                </c:pt>
                <c:pt idx="7">
                  <c:v>110.15517002643944</c:v>
                </c:pt>
                <c:pt idx="8">
                  <c:v>92.147582017584355</c:v>
                </c:pt>
                <c:pt idx="9">
                  <c:v>74.139994008729275</c:v>
                </c:pt>
                <c:pt idx="10">
                  <c:v>60.994745747338115</c:v>
                </c:pt>
                <c:pt idx="11">
                  <c:v>47.849497485946962</c:v>
                </c:pt>
                <c:pt idx="12">
                  <c:v>39.160902322446915</c:v>
                </c:pt>
                <c:pt idx="13">
                  <c:v>30.472307158946879</c:v>
                </c:pt>
                <c:pt idx="14">
                  <c:v>25.614932611819363</c:v>
                </c:pt>
                <c:pt idx="15">
                  <c:v>20.757558064691843</c:v>
                </c:pt>
                <c:pt idx="16">
                  <c:v>19.102847380488598</c:v>
                </c:pt>
                <c:pt idx="17">
                  <c:v>17.448136696285349</c:v>
                </c:pt>
                <c:pt idx="18">
                  <c:v>18.497552979911937</c:v>
                </c:pt>
                <c:pt idx="19">
                  <c:v>19.546969263538521</c:v>
                </c:pt>
                <c:pt idx="20">
                  <c:v>22.959142436048275</c:v>
                </c:pt>
                <c:pt idx="21">
                  <c:v>26.371315608558028</c:v>
                </c:pt>
                <c:pt idx="22">
                  <c:v>31.900810162646764</c:v>
                </c:pt>
                <c:pt idx="23">
                  <c:v>37.430304716735499</c:v>
                </c:pt>
                <c:pt idx="24">
                  <c:v>44.822439840411008</c:v>
                </c:pt>
                <c:pt idx="25">
                  <c:v>52.214574964086516</c:v>
                </c:pt>
                <c:pt idx="26">
                  <c:v>61.108743343249003</c:v>
                </c:pt>
                <c:pt idx="27">
                  <c:v>70.002911722411497</c:v>
                </c:pt>
                <c:pt idx="28">
                  <c:v>79.886388766073139</c:v>
                </c:pt>
                <c:pt idx="29">
                  <c:v>89.769865809734796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F1-40AF-9178-3CCF41ECE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383759"/>
        <c:axId val="690142159"/>
      </c:scatterChart>
      <c:valAx>
        <c:axId val="1055383759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/>
                  <a:t>L(m)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0142159"/>
        <c:crosses val="autoZero"/>
        <c:crossBetween val="midCat"/>
      </c:valAx>
      <c:valAx>
        <c:axId val="6901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/>
                  <a:t>T(`C)</a:t>
                </a:r>
              </a:p>
            </c:rich>
          </c:tx>
          <c:layout>
            <c:manualLayout>
              <c:xMode val="edge"/>
              <c:yMode val="edge"/>
              <c:x val="0"/>
              <c:y val="0.4202414253856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55383759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279.55752989731042</c:v>
                </c:pt>
                <c:pt idx="2">
                  <c:v>259.29889046602335</c:v>
                </c:pt>
                <c:pt idx="3">
                  <c:v>239.40410986884763</c:v>
                </c:pt>
                <c:pt idx="4">
                  <c:v>220.04576678522898</c:v>
                </c:pt>
                <c:pt idx="5">
                  <c:v>201.38564406568588</c:v>
                </c:pt>
                <c:pt idx="6">
                  <c:v>183.5718081464583</c:v>
                </c:pt>
                <c:pt idx="7">
                  <c:v>166.73621160257449</c:v>
                </c:pt>
                <c:pt idx="8">
                  <c:v>150.99288304614095</c:v>
                </c:pt>
                <c:pt idx="9">
                  <c:v>136.4367327542555</c:v>
                </c:pt>
                <c:pt idx="10">
                  <c:v>123.1429668237964</c:v>
                </c:pt>
                <c:pt idx="11">
                  <c:v>111.1670700282445</c:v>
                </c:pt>
                <c:pt idx="12">
                  <c:v>100.54529022151938</c:v>
                </c:pt>
                <c:pt idx="13">
                  <c:v>91.295536827634308</c:v>
                </c:pt>
                <c:pt idx="14">
                  <c:v>83.418593689092589</c:v>
                </c:pt>
                <c:pt idx="15">
                  <c:v>76.899542578917305</c:v>
                </c:pt>
                <c:pt idx="16">
                  <c:v>71.709297542613797</c:v>
                </c:pt>
                <c:pt idx="17">
                  <c:v>67.806160831357658</c:v>
                </c:pt>
                <c:pt idx="18">
                  <c:v>65.137326941606716</c:v>
                </c:pt>
                <c:pt idx="19">
                  <c:v>63.64028031560126</c:v>
                </c:pt>
                <c:pt idx="20">
                  <c:v>63.244052601247191</c:v>
                </c:pt>
                <c:pt idx="21">
                  <c:v>63.870325116564032</c:v>
                </c:pt>
                <c:pt idx="22">
                  <c:v>65.434379653323418</c:v>
                </c:pt>
                <c:pt idx="23">
                  <c:v>67.845914698909652</c:v>
                </c:pt>
                <c:pt idx="24">
                  <c:v>71.009753726953477</c:v>
                </c:pt>
                <c:pt idx="25">
                  <c:v>74.82647707944372</c:v>
                </c:pt>
                <c:pt idx="26">
                  <c:v>79.193009304974012</c:v>
                </c:pt>
                <c:pt idx="27">
                  <c:v>84.003190244189966</c:v>
                </c:pt>
                <c:pt idx="28">
                  <c:v>89.148351635848968</c:v>
                </c:pt>
                <c:pt idx="29">
                  <c:v>94.51791276503323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E5-4AEA-832E-50F610B80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9508751"/>
        <c:axId val="1929777983"/>
      </c:scatterChart>
      <c:valAx>
        <c:axId val="2039508751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u="none" strike="noStrike" baseline="0">
                    <a:effectLst/>
                  </a:rPr>
                  <a:t>L(m</a:t>
                </a:r>
                <a:r>
                  <a:rPr lang="ru-RU" sz="1400" b="0" i="0" u="none" strike="noStrike" baseline="0">
                    <a:effectLst/>
                  </a:rPr>
                  <a:t>)</a:t>
                </a:r>
                <a:endParaRPr lang="ru-RU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77983"/>
        <c:crosses val="autoZero"/>
        <c:crossBetween val="midCat"/>
      </c:valAx>
      <c:valAx>
        <c:axId val="192977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T(`C)</a:t>
                </a:r>
                <a:endParaRPr lang="ru-RU" sz="1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39508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22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195943</xdr:colOff>
      <xdr:row>16</xdr:row>
      <xdr:rowOff>38098</xdr:rowOff>
    </xdr:from>
    <xdr:to>
      <xdr:col>20</xdr:col>
      <xdr:colOff>10886</xdr:colOff>
      <xdr:row>54</xdr:row>
      <xdr:rowOff>152399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8B50D5BC-95BC-45C1-B71D-F3495C4E2C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22</xdr:row>
      <xdr:rowOff>15240</xdr:rowOff>
    </xdr:from>
    <xdr:to>
      <xdr:col>11</xdr:col>
      <xdr:colOff>586740</xdr:colOff>
      <xdr:row>49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805E859-6C8E-4C36-B60D-6E4F814F7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D6093-BEFA-4F0E-831D-8DF71DEDEB9A}">
  <dimension ref="B3:AJ15"/>
  <sheetViews>
    <sheetView tabSelected="1" zoomScale="70" zoomScaleNormal="70" workbookViewId="0">
      <selection activeCell="H20" sqref="H20"/>
    </sheetView>
  </sheetViews>
  <sheetFormatPr defaultRowHeight="14.4" x14ac:dyDescent="0.3"/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3">
        <f>C3/30</f>
        <v>3.3333333333333335E-3</v>
      </c>
    </row>
    <row r="5" spans="2:36" x14ac:dyDescent="0.3">
      <c r="B5" s="2" t="s">
        <v>2</v>
      </c>
      <c r="C5" s="3">
        <f>(C9*C8*C4^2)/(2*C10)</f>
        <v>0.4333333333333334</v>
      </c>
    </row>
    <row r="6" spans="2:36" x14ac:dyDescent="0.3">
      <c r="B6" s="2" t="s">
        <v>3</v>
      </c>
      <c r="C6" s="2">
        <v>60</v>
      </c>
      <c r="D6">
        <v>60.43333333333333</v>
      </c>
    </row>
    <row r="7" spans="2:36" x14ac:dyDescent="0.3">
      <c r="B7" s="5"/>
      <c r="C7" s="5"/>
      <c r="D7" s="4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5"/>
      <c r="C11" s="5"/>
      <c r="D11" s="4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11</v>
      </c>
      <c r="C12" s="2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8</v>
      </c>
      <c r="C13" s="2">
        <v>100</v>
      </c>
      <c r="E13" t="s">
        <v>7</v>
      </c>
      <c r="F13" s="1">
        <f>C12</f>
        <v>300</v>
      </c>
      <c r="G13" s="1">
        <v>269.23577580095974</v>
      </c>
      <c r="H13" s="1">
        <v>239.46949687021586</v>
      </c>
      <c r="I13" s="1">
        <v>209.70321793947198</v>
      </c>
      <c r="J13" s="1">
        <v>182.74843855570356</v>
      </c>
      <c r="K13" s="1">
        <v>155.79365917193513</v>
      </c>
      <c r="L13" s="1">
        <v>132.9744145991873</v>
      </c>
      <c r="M13" s="1">
        <v>110.15517002643944</v>
      </c>
      <c r="N13" s="1">
        <v>92.147582017584355</v>
      </c>
      <c r="O13" s="1">
        <v>74.139994008729275</v>
      </c>
      <c r="P13" s="1">
        <v>60.994745747338115</v>
      </c>
      <c r="Q13" s="1">
        <v>47.849497485946962</v>
      </c>
      <c r="R13" s="1">
        <v>39.160902322446915</v>
      </c>
      <c r="S13" s="1">
        <v>30.472307158946879</v>
      </c>
      <c r="T13" s="1">
        <v>25.614932611819363</v>
      </c>
      <c r="U13" s="1">
        <v>20.757558064691843</v>
      </c>
      <c r="V13" s="1">
        <v>19.102847380488598</v>
      </c>
      <c r="W13" s="1">
        <v>17.448136696285349</v>
      </c>
      <c r="X13" s="1">
        <v>18.497552979911937</v>
      </c>
      <c r="Y13" s="1">
        <v>19.546969263538521</v>
      </c>
      <c r="Z13" s="1">
        <v>22.959142436048275</v>
      </c>
      <c r="AA13" s="1">
        <v>26.371315608558028</v>
      </c>
      <c r="AB13" s="1">
        <v>31.900810162646764</v>
      </c>
      <c r="AC13" s="1">
        <v>37.430304716735499</v>
      </c>
      <c r="AD13" s="1">
        <v>44.822439840411008</v>
      </c>
      <c r="AE13" s="1">
        <v>52.214574964086516</v>
      </c>
      <c r="AF13" s="1">
        <v>61.108743343249003</v>
      </c>
      <c r="AG13" s="1">
        <v>70.002911722411497</v>
      </c>
      <c r="AH13" s="1">
        <v>79.886388766073139</v>
      </c>
      <c r="AI13" s="1">
        <v>89.769865809734796</v>
      </c>
      <c r="AJ13" s="1">
        <f>C13</f>
        <v>100</v>
      </c>
    </row>
    <row r="15" spans="2:36" x14ac:dyDescent="0.3">
      <c r="E15" t="s">
        <v>9</v>
      </c>
      <c r="G15" s="1">
        <f>G13+(($C$10*$C$5)/($C$9*$C$8))*((H13-2*G13+F13)/($C$4^2))</f>
        <v>269.73474843510792</v>
      </c>
      <c r="H15" s="1">
        <f t="shared" ref="H15:AI15" si="1">H13+(($C$10*$C$5)/($C$9*$C$8))*((I13-2*H13+G13)/($C$4^2))</f>
        <v>239.46949687021586</v>
      </c>
      <c r="I15" s="1">
        <f t="shared" si="1"/>
        <v>211.10896771295972</v>
      </c>
      <c r="J15" s="1">
        <f t="shared" si="1"/>
        <v>182.74843855570356</v>
      </c>
      <c r="K15" s="1">
        <f t="shared" si="1"/>
        <v>157.86142657744543</v>
      </c>
      <c r="L15" s="1">
        <f t="shared" si="1"/>
        <v>132.9744145991873</v>
      </c>
      <c r="M15" s="1">
        <f t="shared" si="1"/>
        <v>112.56099830838582</v>
      </c>
      <c r="N15" s="1">
        <f t="shared" si="1"/>
        <v>92.147582017584355</v>
      </c>
      <c r="O15" s="1">
        <f t="shared" si="1"/>
        <v>76.571163882461235</v>
      </c>
      <c r="P15" s="1">
        <f t="shared" si="1"/>
        <v>60.994745747338115</v>
      </c>
      <c r="Q15" s="1">
        <f t="shared" si="1"/>
        <v>50.077824034892515</v>
      </c>
      <c r="R15" s="1">
        <f t="shared" si="1"/>
        <v>39.160902322446915</v>
      </c>
      <c r="S15" s="1">
        <f t="shared" si="1"/>
        <v>32.387917467133143</v>
      </c>
      <c r="T15" s="1">
        <f t="shared" si="1"/>
        <v>25.614932611819363</v>
      </c>
      <c r="U15" s="1">
        <f t="shared" si="1"/>
        <v>22.35888999615398</v>
      </c>
      <c r="V15" s="1">
        <f t="shared" si="1"/>
        <v>19.102847380488598</v>
      </c>
      <c r="W15" s="1">
        <f t="shared" si="1"/>
        <v>18.800200180200267</v>
      </c>
      <c r="X15" s="1">
        <f t="shared" si="1"/>
        <v>18.497552979911937</v>
      </c>
      <c r="Y15" s="1">
        <f t="shared" si="1"/>
        <v>20.728347707980106</v>
      </c>
      <c r="Z15" s="1">
        <f t="shared" si="1"/>
        <v>22.959142436048275</v>
      </c>
      <c r="AA15" s="1">
        <f t="shared" si="1"/>
        <v>27.429976299347519</v>
      </c>
      <c r="AB15" s="1">
        <f t="shared" si="1"/>
        <v>31.900810162646764</v>
      </c>
      <c r="AC15" s="1">
        <f t="shared" si="1"/>
        <v>38.361625001528886</v>
      </c>
      <c r="AD15" s="1">
        <f t="shared" si="1"/>
        <v>44.822439840411008</v>
      </c>
      <c r="AE15" s="1">
        <f t="shared" si="1"/>
        <v>52.965591591830005</v>
      </c>
      <c r="AF15" s="1">
        <f t="shared" si="1"/>
        <v>61.108743343249003</v>
      </c>
      <c r="AG15" s="1">
        <f t="shared" si="1"/>
        <v>70.497566054661064</v>
      </c>
      <c r="AH15" s="1">
        <f t="shared" si="1"/>
        <v>79.886388766073139</v>
      </c>
      <c r="AI15" s="1">
        <f t="shared" si="1"/>
        <v>89.94319438303657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72D8-5E95-4926-BA13-E835AE1D6A25}">
  <dimension ref="B3:AJ21"/>
  <sheetViews>
    <sheetView workbookViewId="0">
      <selection activeCell="C5" sqref="C5"/>
    </sheetView>
  </sheetViews>
  <sheetFormatPr defaultRowHeight="14.4" x14ac:dyDescent="0.3"/>
  <cols>
    <col min="6" max="6" width="11.664062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6">
        <f>C3/30</f>
        <v>3.3333333333333335E-3</v>
      </c>
    </row>
    <row r="5" spans="2:36" x14ac:dyDescent="0.3">
      <c r="B5" s="2" t="s">
        <v>2</v>
      </c>
      <c r="C5" s="3">
        <f>'Явная схема'!C5</f>
        <v>0.4333333333333334</v>
      </c>
    </row>
    <row r="6" spans="2:36" x14ac:dyDescent="0.3">
      <c r="B6" s="2" t="s">
        <v>3</v>
      </c>
      <c r="C6" s="2">
        <v>30</v>
      </c>
      <c r="D6">
        <v>31</v>
      </c>
    </row>
    <row r="7" spans="2:36" x14ac:dyDescent="0.3">
      <c r="B7" s="5"/>
      <c r="C7" s="5"/>
      <c r="D7" s="4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5"/>
      <c r="C11" s="5"/>
      <c r="D11" s="4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11</v>
      </c>
      <c r="C12" s="2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8</v>
      </c>
      <c r="C13" s="2">
        <v>100</v>
      </c>
      <c r="E13" t="s">
        <v>7</v>
      </c>
      <c r="F13" s="1">
        <f>C12</f>
        <v>300</v>
      </c>
      <c r="G13" s="1">
        <v>279.55752989731042</v>
      </c>
      <c r="H13" s="1">
        <v>259.29889046602335</v>
      </c>
      <c r="I13" s="1">
        <v>239.40410986884763</v>
      </c>
      <c r="J13" s="1">
        <v>220.04576678522898</v>
      </c>
      <c r="K13" s="1">
        <v>201.38564406568588</v>
      </c>
      <c r="L13" s="1">
        <v>183.5718081464583</v>
      </c>
      <c r="M13" s="1">
        <v>166.73621160257449</v>
      </c>
      <c r="N13" s="1">
        <v>150.99288304614095</v>
      </c>
      <c r="O13" s="1">
        <v>136.4367327542555</v>
      </c>
      <c r="P13" s="1">
        <v>123.1429668237964</v>
      </c>
      <c r="Q13" s="1">
        <v>111.1670700282445</v>
      </c>
      <c r="R13" s="1">
        <v>100.54529022151938</v>
      </c>
      <c r="S13" s="1">
        <v>91.295536827634308</v>
      </c>
      <c r="T13" s="1">
        <v>83.418593689092589</v>
      </c>
      <c r="U13" s="1">
        <v>76.899542578917305</v>
      </c>
      <c r="V13" s="1">
        <v>71.709297542613797</v>
      </c>
      <c r="W13" s="1">
        <v>67.806160831357658</v>
      </c>
      <c r="X13" s="1">
        <v>65.137326941606716</v>
      </c>
      <c r="Y13" s="1">
        <v>63.64028031560126</v>
      </c>
      <c r="Z13" s="1">
        <v>63.244052601247191</v>
      </c>
      <c r="AA13" s="1">
        <v>63.870325116564032</v>
      </c>
      <c r="AB13" s="1">
        <v>65.434379653323418</v>
      </c>
      <c r="AC13" s="1">
        <v>67.845914698909652</v>
      </c>
      <c r="AD13" s="1">
        <v>71.009753726953477</v>
      </c>
      <c r="AE13" s="1">
        <v>74.82647707944372</v>
      </c>
      <c r="AF13" s="1">
        <v>79.193009304974012</v>
      </c>
      <c r="AG13" s="1">
        <v>84.003190244189966</v>
      </c>
      <c r="AH13" s="1">
        <v>89.148351635848968</v>
      </c>
      <c r="AI13" s="1">
        <v>94.51791276503323</v>
      </c>
      <c r="AJ13" s="1">
        <f>C13</f>
        <v>100</v>
      </c>
    </row>
    <row r="15" spans="2:36" x14ac:dyDescent="0.3">
      <c r="E15" t="s">
        <v>9</v>
      </c>
      <c r="G15" s="1">
        <f t="shared" ref="G15:AH15" si="1">G19*H15+G20</f>
        <v>279.64851342232828</v>
      </c>
      <c r="H15" s="1">
        <f t="shared" si="1"/>
        <v>259.47899389469228</v>
      </c>
      <c r="I15" s="1">
        <f t="shared" si="1"/>
        <v>239.669681224394</v>
      </c>
      <c r="J15" s="1">
        <f t="shared" si="1"/>
        <v>220.39151126518837</v>
      </c>
      <c r="K15" s="1">
        <f t="shared" si="1"/>
        <v>201.80483026590159</v>
      </c>
      <c r="L15" s="1">
        <f t="shared" si="1"/>
        <v>184.05652166704618</v>
      </c>
      <c r="M15" s="1">
        <f t="shared" si="1"/>
        <v>167.27764010936656</v>
      </c>
      <c r="N15" s="1">
        <f t="shared" si="1"/>
        <v>151.58161556527099</v>
      </c>
      <c r="O15" s="1">
        <f t="shared" si="1"/>
        <v>137.06305605943544</v>
      </c>
      <c r="P15" s="1">
        <f t="shared" si="1"/>
        <v>123.79714316395969</v>
      </c>
      <c r="Q15" s="1">
        <f t="shared" si="1"/>
        <v>111.83958294881046</v>
      </c>
      <c r="R15" s="1">
        <f t="shared" si="1"/>
        <v>101.2270485747931</v>
      </c>
      <c r="S15" s="1">
        <f t="shared" si="1"/>
        <v>91.978030907323173</v>
      </c>
      <c r="T15" s="1">
        <f t="shared" si="1"/>
        <v>84.094001399230933</v>
      </c>
      <c r="U15" s="1">
        <f t="shared" si="1"/>
        <v>77.560787311415368</v>
      </c>
      <c r="V15" s="1">
        <f t="shared" si="1"/>
        <v>72.350062688595884</v>
      </c>
      <c r="W15" s="1">
        <f t="shared" si="1"/>
        <v>68.420868357740559</v>
      </c>
      <c r="X15" s="1">
        <f t="shared" si="1"/>
        <v>65.721089079651009</v>
      </c>
      <c r="Y15" s="1">
        <f t="shared" si="1"/>
        <v>64.188834077650057</v>
      </c>
      <c r="Z15" s="1">
        <f t="shared" si="1"/>
        <v>63.753686599746658</v>
      </c>
      <c r="AA15" s="1">
        <f t="shared" si="1"/>
        <v>64.337807118842193</v>
      </c>
      <c r="AB15" s="1">
        <f t="shared" si="1"/>
        <v>65.856891642494006</v>
      </c>
      <c r="AC15" s="1">
        <f t="shared" si="1"/>
        <v>68.221000144486993</v>
      </c>
      <c r="AD15" s="1">
        <f t="shared" si="1"/>
        <v>71.335279537634648</v>
      </c>
      <c r="AE15" s="1">
        <f t="shared" si="1"/>
        <v>75.100610552144573</v>
      </c>
      <c r="AF15" s="1">
        <f t="shared" si="1"/>
        <v>79.414208512056192</v>
      </c>
      <c r="AG15" s="1">
        <f t="shared" si="1"/>
        <v>84.170204886132154</v>
      </c>
      <c r="AH15" s="1">
        <f t="shared" si="1"/>
        <v>89.260230544092465</v>
      </c>
      <c r="AI15" s="1">
        <f>AI19*AJ15+AI20</f>
        <v>94.574014018539742</v>
      </c>
      <c r="AJ15" s="1">
        <f>AJ13</f>
        <v>100</v>
      </c>
    </row>
    <row r="17" spans="2:35" x14ac:dyDescent="0.3">
      <c r="B17" t="s">
        <v>12</v>
      </c>
      <c r="C17">
        <f>C10/(C4^2)</f>
        <v>4139999.9999999991</v>
      </c>
      <c r="E17" t="s">
        <v>10</v>
      </c>
      <c r="F17" t="s">
        <v>18</v>
      </c>
    </row>
    <row r="18" spans="2:35" x14ac:dyDescent="0.3">
      <c r="B18" t="s">
        <v>13</v>
      </c>
      <c r="C18">
        <f>(2*C10)/(C4^2)+((C9*C8)/C5)</f>
        <v>16559999.999999996</v>
      </c>
    </row>
    <row r="19" spans="2:35" x14ac:dyDescent="0.3">
      <c r="B19" t="s">
        <v>14</v>
      </c>
      <c r="C19">
        <f>C10/(C4^2)</f>
        <v>4139999.9999999991</v>
      </c>
      <c r="E19" t="s">
        <v>15</v>
      </c>
      <c r="F19">
        <v>0</v>
      </c>
      <c r="G19">
        <f>$C$17/($C$18-$C$19*F19)</f>
        <v>0.25</v>
      </c>
      <c r="H19">
        <f t="shared" ref="H19:AI19" si="2">$C$17/($C$18-$C$19*G19)</f>
        <v>0.26666666666666666</v>
      </c>
      <c r="I19">
        <f t="shared" si="2"/>
        <v>0.26785714285714285</v>
      </c>
      <c r="J19">
        <f t="shared" si="2"/>
        <v>0.26794258373205743</v>
      </c>
      <c r="K19">
        <f t="shared" si="2"/>
        <v>0.26794871794871794</v>
      </c>
      <c r="L19">
        <f t="shared" si="2"/>
        <v>0.26794915836482308</v>
      </c>
      <c r="M19">
        <f t="shared" si="2"/>
        <v>0.26794918998527245</v>
      </c>
      <c r="N19">
        <f t="shared" si="2"/>
        <v>0.26794919225551855</v>
      </c>
      <c r="O19">
        <f t="shared" si="2"/>
        <v>0.26794919241851489</v>
      </c>
      <c r="P19">
        <f t="shared" si="2"/>
        <v>0.26794919243021753</v>
      </c>
      <c r="Q19">
        <f t="shared" si="2"/>
        <v>0.26794919243105775</v>
      </c>
      <c r="R19">
        <f t="shared" si="2"/>
        <v>0.26794919243111803</v>
      </c>
      <c r="S19">
        <f t="shared" si="2"/>
        <v>0.26794919243112236</v>
      </c>
      <c r="T19">
        <f t="shared" si="2"/>
        <v>0.2679491924311227</v>
      </c>
      <c r="U19">
        <f t="shared" si="2"/>
        <v>0.2679491924311227</v>
      </c>
      <c r="V19">
        <f t="shared" si="2"/>
        <v>0.2679491924311227</v>
      </c>
      <c r="W19">
        <f t="shared" si="2"/>
        <v>0.2679491924311227</v>
      </c>
      <c r="X19">
        <f t="shared" si="2"/>
        <v>0.2679491924311227</v>
      </c>
      <c r="Y19">
        <f t="shared" si="2"/>
        <v>0.2679491924311227</v>
      </c>
      <c r="Z19">
        <f t="shared" si="2"/>
        <v>0.2679491924311227</v>
      </c>
      <c r="AA19">
        <f t="shared" si="2"/>
        <v>0.2679491924311227</v>
      </c>
      <c r="AB19">
        <f t="shared" si="2"/>
        <v>0.2679491924311227</v>
      </c>
      <c r="AC19">
        <f t="shared" si="2"/>
        <v>0.2679491924311227</v>
      </c>
      <c r="AD19">
        <f t="shared" si="2"/>
        <v>0.2679491924311227</v>
      </c>
      <c r="AE19">
        <f t="shared" si="2"/>
        <v>0.2679491924311227</v>
      </c>
      <c r="AF19">
        <f t="shared" si="2"/>
        <v>0.2679491924311227</v>
      </c>
      <c r="AG19">
        <f t="shared" si="2"/>
        <v>0.2679491924311227</v>
      </c>
      <c r="AH19">
        <f t="shared" si="2"/>
        <v>0.2679491924311227</v>
      </c>
      <c r="AI19">
        <f t="shared" si="2"/>
        <v>0.2679491924311227</v>
      </c>
    </row>
    <row r="20" spans="2:35" x14ac:dyDescent="0.3">
      <c r="E20" t="s">
        <v>16</v>
      </c>
      <c r="F20">
        <f>F13</f>
        <v>300</v>
      </c>
      <c r="G20">
        <f>(F20*$C$19-G21)/($C$18-$C$19*F19)</f>
        <v>214.77876494865521</v>
      </c>
      <c r="H20">
        <f t="shared" ref="H20:AH20" si="3">(G20*$C$19-H21)/($C$18-$C$19*G19)</f>
        <v>195.56707890152052</v>
      </c>
      <c r="I20">
        <f t="shared" si="3"/>
        <v>180.63624070693282</v>
      </c>
      <c r="J20">
        <f t="shared" si="3"/>
        <v>166.31940363413341</v>
      </c>
      <c r="K20">
        <f t="shared" si="3"/>
        <v>152.48712125511614</v>
      </c>
      <c r="L20">
        <f t="shared" si="3"/>
        <v>139.23461878648766</v>
      </c>
      <c r="M20">
        <f t="shared" si="3"/>
        <v>126.66146900199324</v>
      </c>
      <c r="N20">
        <f t="shared" si="3"/>
        <v>114.85568040607241</v>
      </c>
      <c r="O20">
        <f t="shared" si="3"/>
        <v>103.89171152493317</v>
      </c>
      <c r="P20">
        <f t="shared" si="3"/>
        <v>93.8298172310936</v>
      </c>
      <c r="Q20">
        <f t="shared" si="3"/>
        <v>84.715877031015197</v>
      </c>
      <c r="R20">
        <f t="shared" si="3"/>
        <v>76.581609471771444</v>
      </c>
      <c r="S20">
        <f t="shared" si="3"/>
        <v>69.445111144097567</v>
      </c>
      <c r="T20">
        <f t="shared" si="3"/>
        <v>63.31165107481511</v>
      </c>
      <c r="U20">
        <f t="shared" si="3"/>
        <v>58.174646441664997</v>
      </c>
      <c r="V20">
        <f t="shared" si="3"/>
        <v>54.016746266703144</v>
      </c>
      <c r="W20">
        <f t="shared" si="3"/>
        <v>50.810955613154192</v>
      </c>
      <c r="X20">
        <f t="shared" si="3"/>
        <v>48.521742825449351</v>
      </c>
      <c r="Y20">
        <f t="shared" si="3"/>
        <v>47.106085238741045</v>
      </c>
      <c r="Z20">
        <f t="shared" si="3"/>
        <v>46.51442313946356</v>
      </c>
      <c r="AA20">
        <f t="shared" si="3"/>
        <v>46.691506187211964</v>
      </c>
      <c r="AB20">
        <f t="shared" si="3"/>
        <v>47.577129746935213</v>
      </c>
      <c r="AC20">
        <f t="shared" si="3"/>
        <v>49.106769600529404</v>
      </c>
      <c r="AD20">
        <f t="shared" si="3"/>
        <v>51.212131589103251</v>
      </c>
      <c r="AE20">
        <f t="shared" si="3"/>
        <v>53.821637513782328</v>
      </c>
      <c r="AF20">
        <f t="shared" si="3"/>
        <v>56.860870086054945</v>
      </c>
      <c r="AG20">
        <f t="shared" si="3"/>
        <v>60.252998195626745</v>
      </c>
      <c r="AH20">
        <f t="shared" si="3"/>
        <v>63.919199862855066</v>
      </c>
      <c r="AI20">
        <f>(AH20*$C$19-AI21)/($C$18-$C$19*AH19)</f>
        <v>67.779094775427467</v>
      </c>
    </row>
    <row r="21" spans="2:35" x14ac:dyDescent="0.3">
      <c r="E21" t="s">
        <v>17</v>
      </c>
      <c r="F21">
        <f>-(($C$9*$C$8)/$C$5)*F13</f>
        <v>-2483999999.9999995</v>
      </c>
      <c r="G21">
        <f>-(($C$9*$C$8)/$C$5)*G13</f>
        <v>-2314736347.5497298</v>
      </c>
      <c r="H21">
        <f>-(($C$9*$C$8)/$C$5)*H13</f>
        <v>-2146994813.0586731</v>
      </c>
      <c r="I21">
        <f>-(($C$9*$C$8)/$C$5)*I13</f>
        <v>-1982266029.7140582</v>
      </c>
      <c r="J21">
        <f t="shared" ref="J21:AI21" si="4">-(($C$9*$C$8)/$C$5)*J13</f>
        <v>-1821978948.9816957</v>
      </c>
      <c r="K21">
        <f t="shared" si="4"/>
        <v>-1667473132.863879</v>
      </c>
      <c r="L21">
        <f t="shared" si="4"/>
        <v>-1519974571.4526746</v>
      </c>
      <c r="M21">
        <f t="shared" si="4"/>
        <v>-1380575832.0693166</v>
      </c>
      <c r="N21">
        <f t="shared" si="4"/>
        <v>-1250221071.6220469</v>
      </c>
      <c r="O21">
        <f t="shared" si="4"/>
        <v>-1129696147.2052355</v>
      </c>
      <c r="P21">
        <f t="shared" si="4"/>
        <v>-1019623765.3010341</v>
      </c>
      <c r="Q21">
        <f t="shared" si="4"/>
        <v>-920463339.83386433</v>
      </c>
      <c r="R21">
        <f t="shared" si="4"/>
        <v>-832515003.0341804</v>
      </c>
      <c r="S21">
        <f t="shared" si="4"/>
        <v>-755927044.93281198</v>
      </c>
      <c r="T21">
        <f t="shared" si="4"/>
        <v>-690705955.74568653</v>
      </c>
      <c r="U21">
        <f t="shared" si="4"/>
        <v>-636728212.55343521</v>
      </c>
      <c r="V21">
        <f t="shared" si="4"/>
        <v>-593752983.65284216</v>
      </c>
      <c r="W21">
        <f t="shared" si="4"/>
        <v>-561435011.68364131</v>
      </c>
      <c r="X21">
        <f t="shared" si="4"/>
        <v>-539337067.07650352</v>
      </c>
      <c r="Y21">
        <f t="shared" si="4"/>
        <v>-526941521.01317835</v>
      </c>
      <c r="Z21">
        <f t="shared" si="4"/>
        <v>-523660755.53832668</v>
      </c>
      <c r="AA21">
        <f t="shared" si="4"/>
        <v>-528846291.96515012</v>
      </c>
      <c r="AB21">
        <f t="shared" si="4"/>
        <v>-541796663.52951789</v>
      </c>
      <c r="AC21">
        <f t="shared" si="4"/>
        <v>-561764173.70697188</v>
      </c>
      <c r="AD21">
        <f t="shared" si="4"/>
        <v>-587960760.85917473</v>
      </c>
      <c r="AE21">
        <f t="shared" si="4"/>
        <v>-619563230.21779394</v>
      </c>
      <c r="AF21">
        <f t="shared" si="4"/>
        <v>-655718117.04518473</v>
      </c>
      <c r="AG21">
        <f t="shared" si="4"/>
        <v>-695546415.22189283</v>
      </c>
      <c r="AH21">
        <f t="shared" si="4"/>
        <v>-738148351.54482937</v>
      </c>
      <c r="AI21">
        <f t="shared" si="4"/>
        <v>-782608317.69447505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Dude 21</dc:creator>
  <cp:lastModifiedBy>Dude 21</cp:lastModifiedBy>
  <dcterms:created xsi:type="dcterms:W3CDTF">2021-09-15T09:42:45Z</dcterms:created>
  <dcterms:modified xsi:type="dcterms:W3CDTF">2021-11-21T21:12:50Z</dcterms:modified>
</cp:coreProperties>
</file>