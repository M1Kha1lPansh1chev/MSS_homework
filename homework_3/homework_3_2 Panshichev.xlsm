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ude 21\Desktop\УчЁба\МСС\"/>
    </mc:Choice>
  </mc:AlternateContent>
  <xr:revisionPtr revIDLastSave="0" documentId="8_{EABCFB6D-1DC9-4AAA-8F55-CD1D0BC2E600}" xr6:coauthVersionLast="37" xr6:coauthVersionMax="37" xr10:uidLastSave="{00000000-0000-0000-0000-000000000000}"/>
  <bookViews>
    <workbookView xWindow="0" yWindow="0" windowWidth="23040" windowHeight="9060" activeTab="1" xr2:uid="{76475AEC-F8D6-4668-943C-A83C946F8CA6}"/>
  </bookViews>
  <sheets>
    <sheet name="Явная схема" sheetId="2" r:id="rId1"/>
    <sheet name="Неявная схема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4" l="1"/>
  <c r="C18" i="4"/>
  <c r="G19" i="4"/>
  <c r="I21" i="4"/>
  <c r="H21" i="4"/>
  <c r="G21" i="4"/>
  <c r="C5" i="4" l="1"/>
  <c r="AJ15" i="4" l="1"/>
  <c r="F20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F21" i="4"/>
  <c r="C19" i="4"/>
  <c r="AJ13" i="4"/>
  <c r="F13" i="4"/>
  <c r="C4" i="4"/>
  <c r="H19" i="4" l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13" i="2"/>
  <c r="AH19" i="4" l="1"/>
  <c r="AJ13" i="2"/>
  <c r="C4" i="2"/>
  <c r="AI19" i="4" l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E15" i="2" l="1"/>
  <c r="W15" i="2"/>
  <c r="O15" i="2"/>
  <c r="G15" i="2"/>
  <c r="AD15" i="2"/>
  <c r="V15" i="2"/>
  <c r="N15" i="2"/>
  <c r="AB15" i="2"/>
  <c r="T15" i="2"/>
  <c r="L15" i="2"/>
  <c r="S15" i="2"/>
  <c r="AF15" i="2"/>
  <c r="P15" i="2"/>
  <c r="AC15" i="2"/>
  <c r="U15" i="2"/>
  <c r="M15" i="2"/>
  <c r="AI15" i="2"/>
  <c r="AA15" i="2"/>
  <c r="K15" i="2"/>
  <c r="AH15" i="2"/>
  <c r="Z15" i="2"/>
  <c r="R15" i="2"/>
  <c r="J15" i="2"/>
  <c r="AG15" i="2"/>
  <c r="Y15" i="2"/>
  <c r="Q15" i="2"/>
  <c r="I15" i="2"/>
  <c r="X15" i="2"/>
  <c r="H15" i="2"/>
  <c r="G20" i="4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20" i="4" l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<sst xmlns="http://schemas.openxmlformats.org/spreadsheetml/2006/main" count="32" uniqueCount="19">
  <si>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</si>
  <si>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</si>
  <si>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</si>
  <si>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</si>
  <si>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</si>
  <si>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</si>
  <si>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</si>
  <si>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</si>
  <si>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</si>
  <si>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</si>
  <si>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</t>
  </si>
  <si>
    <t>T_start</t>
  </si>
  <si>
    <t>A</t>
  </si>
  <si>
    <t>B</t>
  </si>
  <si>
    <t>C</t>
  </si>
  <si>
    <t>alfa</t>
  </si>
  <si>
    <t>beta</t>
  </si>
  <si>
    <t>F</t>
  </si>
  <si>
    <t>Нужно ли?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</si>
</sst>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5624248898385"/>
          <c:y val="6.3935118110236222E-2"/>
          <c:w val="0.83195900668513323"/>
          <c:h val="0.8050663956578456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7.0633572470858427E+52</c:v>
                </c:pt>
                <c:pt idx="2">
                  <c:v>-1.3928723962987097E+53</c:v>
                </c:pt>
                <c:pt idx="3">
                  <c:v>2.0408864767509491E+53</c:v>
                </c:pt>
                <c:pt idx="4">
                  <c:v>-2.6337212011216783E+53</c:v>
                </c:pt>
                <c:pt idx="5">
                  <c:v>3.1576172958376463E+53</c:v>
                </c:pt>
                <c:pt idx="6">
                  <c:v>-3.60232195979857E+53</c:v>
                </c:pt>
                <c:pt idx="7">
                  <c:v>3.9614354849516147E+53</c:v>
                </c:pt>
                <c:pt idx="8">
                  <c:v>-4.2324787759536493E+53</c:v>
                </c:pt>
                <c:pt idx="9">
                  <c:v>4.4166897427962169E+53</c:v>
                </c:pt>
                <c:pt idx="10">
                  <c:v>-4.5185796005254865E+53</c:v>
                </c:pt>
                <c:pt idx="11">
                  <c:v>4.5452993015636589E+53</c:v>
                </c:pt>
                <c:pt idx="12">
                  <c:v>-4.5058799365013709E+53</c:v>
                </c:pt>
                <c:pt idx="13">
                  <c:v>4.4104179192123726E+53</c:v>
                </c:pt>
                <c:pt idx="14">
                  <c:v>-4.2692758081969138E+53</c:v>
                </c:pt>
                <c:pt idx="15">
                  <c:v>4.0923631148455166E+53</c:v>
                </c:pt>
                <c:pt idx="16">
                  <c:v>-3.8885494434042591E+53</c:v>
                </c:pt>
                <c:pt idx="17">
                  <c:v>3.6652463013744215E+53</c:v>
                </c:pt>
                <c:pt idx="18">
                  <c:v>-3.4281756999899659E+53</c:v>
                </c:pt>
                <c:pt idx="19">
                  <c:v>3.1813251021465336E+53</c:v>
                </c:pt>
                <c:pt idx="20">
                  <c:v>-2.9270711348830328E+53</c:v>
                </c:pt>
                <c:pt idx="21">
                  <c:v>2.6664402682179251E+53</c:v>
                </c:pt>
                <c:pt idx="22">
                  <c:v>-2.3994644963168562E+53</c:v>
                </c:pt>
                <c:pt idx="23">
                  <c:v>2.1255846166211316E+53</c:v>
                </c:pt>
                <c:pt idx="24">
                  <c:v>-1.8440531910939454E+53</c:v>
                </c:pt>
                <c:pt idx="25">
                  <c:v>1.5542934394436472E+53</c:v>
                </c:pt>
                <c:pt idx="26">
                  <c:v>-1.2561785027281833E+53</c:v>
                </c:pt>
                <c:pt idx="27">
                  <c:v>9.5020674977730389E+52</c:v>
                </c:pt>
                <c:pt idx="28">
                  <c:v>-6.3756187669220833E+52</c:v>
                </c:pt>
                <c:pt idx="29">
                  <c:v>3.2006015506589427E+52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F1-40AF-9178-3CCF41EC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383759"/>
        <c:axId val="690142159"/>
      </c:scatterChart>
      <c:valAx>
        <c:axId val="105538375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L(m)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0142159"/>
        <c:crosses val="autoZero"/>
        <c:crossBetween val="midCat"/>
      </c:valAx>
      <c:valAx>
        <c:axId val="690142159"/>
        <c:scaling>
          <c:orientation val="minMax"/>
          <c:min val="-5.0000000000000004E+5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T(`C)</a:t>
                </a:r>
              </a:p>
            </c:rich>
          </c:tx>
          <c:layout>
            <c:manualLayout>
              <c:xMode val="edge"/>
              <c:yMode val="edge"/>
              <c:x val="0"/>
              <c:y val="0.4202414253856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5383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279.55752989731042</c:v>
                </c:pt>
                <c:pt idx="2">
                  <c:v>259.29889046602335</c:v>
                </c:pt>
                <c:pt idx="3">
                  <c:v>239.40410986884763</c:v>
                </c:pt>
                <c:pt idx="4">
                  <c:v>220.04576678522898</c:v>
                </c:pt>
                <c:pt idx="5">
                  <c:v>201.38564406568588</c:v>
                </c:pt>
                <c:pt idx="6">
                  <c:v>183.5718081464583</c:v>
                </c:pt>
                <c:pt idx="7">
                  <c:v>166.73621160257449</c:v>
                </c:pt>
                <c:pt idx="8">
                  <c:v>150.99288304614095</c:v>
                </c:pt>
                <c:pt idx="9">
                  <c:v>136.4367327542555</c:v>
                </c:pt>
                <c:pt idx="10">
                  <c:v>123.1429668237964</c:v>
                </c:pt>
                <c:pt idx="11">
                  <c:v>111.1670700282445</c:v>
                </c:pt>
                <c:pt idx="12">
                  <c:v>100.54529022151938</c:v>
                </c:pt>
                <c:pt idx="13">
                  <c:v>91.295536827634308</c:v>
                </c:pt>
                <c:pt idx="14">
                  <c:v>83.418593689092589</c:v>
                </c:pt>
                <c:pt idx="15">
                  <c:v>76.899542578917305</c:v>
                </c:pt>
                <c:pt idx="16">
                  <c:v>71.709297542613797</c:v>
                </c:pt>
                <c:pt idx="17">
                  <c:v>67.806160831357658</c:v>
                </c:pt>
                <c:pt idx="18">
                  <c:v>65.137326941606716</c:v>
                </c:pt>
                <c:pt idx="19">
                  <c:v>63.64028031560126</c:v>
                </c:pt>
                <c:pt idx="20">
                  <c:v>63.244052601247191</c:v>
                </c:pt>
                <c:pt idx="21">
                  <c:v>63.870325116564032</c:v>
                </c:pt>
                <c:pt idx="22">
                  <c:v>65.434379653323418</c:v>
                </c:pt>
                <c:pt idx="23">
                  <c:v>67.845914698909652</c:v>
                </c:pt>
                <c:pt idx="24">
                  <c:v>71.009753726953477</c:v>
                </c:pt>
                <c:pt idx="25">
                  <c:v>74.82647707944372</c:v>
                </c:pt>
                <c:pt idx="26">
                  <c:v>79.193009304974012</c:v>
                </c:pt>
                <c:pt idx="27">
                  <c:v>84.003190244189966</c:v>
                </c:pt>
                <c:pt idx="28">
                  <c:v>89.148351635848968</c:v>
                </c:pt>
                <c:pt idx="29">
                  <c:v>94.51791276503323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E5-4AEA-832E-50F610B8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08751"/>
        <c:axId val="1929777983"/>
      </c:scatterChart>
      <c:valAx>
        <c:axId val="203950875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L(m</a:t>
                </a:r>
                <a:r>
                  <a:rPr lang="ru-RU" sz="1400" b="0" i="0" u="none" strike="noStrike" baseline="0">
                    <a:effectLst/>
                  </a:rPr>
                  <a:t>)</a:t>
                </a:r>
                <a:endParaRPr lang="ru-RU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77983"/>
        <c:crosses val="autoZero"/>
        <c:crossBetween val="midCat"/>
      </c:valAx>
      <c:valAx>
        <c:axId val="192977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T(`C)</a:t>
                </a:r>
                <a:endParaRPr lang="ru-RU" sz="1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3950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22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195943</xdr:colOff>
      <xdr:row>16</xdr:row>
      <xdr:rowOff>38098</xdr:rowOff>
    </xdr:from>
    <xdr:to>
      <xdr:col>20</xdr:col>
      <xdr:colOff>10886</xdr:colOff>
      <xdr:row>54</xdr:row>
      <xdr:rowOff>152399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B50D5BC-95BC-45C1-B71D-F3495C4E2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22</xdr:row>
      <xdr:rowOff>15240</xdr:rowOff>
    </xdr:from>
    <xdr:to>
      <xdr:col>11</xdr:col>
      <xdr:colOff>586740</xdr:colOff>
      <xdr:row>49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805E859-6C8E-4C36-B60D-6E4F814F7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6093-BEFA-4F0E-831D-8DF71DEDEB9A}">
  <dimension ref="B3:AJ15"/>
  <sheetViews>
    <sheetView zoomScale="70" zoomScaleNormal="70" workbookViewId="0">
      <selection activeCell="H20" sqref="H20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2</v>
      </c>
    </row>
    <row r="6" spans="2:36" x14ac:dyDescent="0.3">
      <c r="B6" s="2" t="s">
        <v>3</v>
      </c>
      <c r="C6" s="2">
        <v>60</v>
      </c>
      <c r="D6">
        <v>61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7.0633572470858427E+52</v>
      </c>
      <c r="H13" s="1">
        <v>-1.3928723962987097E+53</v>
      </c>
      <c r="I13" s="1">
        <v>2.0408864767509491E+53</v>
      </c>
      <c r="J13" s="1">
        <v>-2.6337212011216783E+53</v>
      </c>
      <c r="K13" s="1">
        <v>3.1576172958376463E+53</v>
      </c>
      <c r="L13" s="1">
        <v>-3.60232195979857E+53</v>
      </c>
      <c r="M13" s="1">
        <v>3.9614354849516147E+53</v>
      </c>
      <c r="N13" s="1">
        <v>-4.2324787759536493E+53</v>
      </c>
      <c r="O13" s="1">
        <v>4.4166897427962169E+53</v>
      </c>
      <c r="P13" s="1">
        <v>-4.5185796005254865E+53</v>
      </c>
      <c r="Q13" s="1">
        <v>4.5452993015636589E+53</v>
      </c>
      <c r="R13" s="1">
        <v>-4.5058799365013709E+53</v>
      </c>
      <c r="S13" s="1">
        <v>4.4104179192123726E+53</v>
      </c>
      <c r="T13" s="1">
        <v>-4.2692758081969138E+53</v>
      </c>
      <c r="U13" s="1">
        <v>4.0923631148455166E+53</v>
      </c>
      <c r="V13" s="1">
        <v>-3.8885494434042591E+53</v>
      </c>
      <c r="W13" s="1">
        <v>3.6652463013744215E+53</v>
      </c>
      <c r="X13" s="1">
        <v>-3.4281756999899659E+53</v>
      </c>
      <c r="Y13" s="1">
        <v>3.1813251021465336E+53</v>
      </c>
      <c r="Z13" s="1">
        <v>-2.9270711348830328E+53</v>
      </c>
      <c r="AA13" s="1">
        <v>2.6664402682179251E+53</v>
      </c>
      <c r="AB13" s="1">
        <v>-2.3994644963168562E+53</v>
      </c>
      <c r="AC13" s="1">
        <v>2.1255846166211316E+53</v>
      </c>
      <c r="AD13" s="1">
        <v>-1.8440531910939454E+53</v>
      </c>
      <c r="AE13" s="1">
        <v>1.5542934394436472E+53</v>
      </c>
      <c r="AF13" s="1">
        <v>-1.2561785027281833E+53</v>
      </c>
      <c r="AG13" s="1">
        <v>9.5020674977730389E+52</v>
      </c>
      <c r="AH13" s="1">
        <v>-6.3756187669220833E+52</v>
      </c>
      <c r="AI13" s="1">
        <v>3.2006015506589427E+52</v>
      </c>
      <c r="AJ13" s="1">
        <f>C13</f>
        <v>100</v>
      </c>
    </row>
    <row r="15" spans="2:36" x14ac:dyDescent="0.3">
      <c r="E15" t="s">
        <v>9</v>
      </c>
      <c r="G15" s="1">
        <f>G13+(($C$10*$C$5)/($C$9*$C$8))*((H13-2*G13+F13)/($C$4^2))</f>
        <v>-5.7679962269434411E+53</v>
      </c>
      <c r="H15" s="1">
        <f t="shared" ref="H15:AI15" si="1">H13+(($C$10*$C$5)/($C$9*$C$8))*((I13-2*H13+G13)/($C$4^2))</f>
        <v>1.1375512974601947E+54</v>
      </c>
      <c r="I15" s="1">
        <f t="shared" si="1"/>
        <v>-1.6670728640762015E+54</v>
      </c>
      <c r="J15" s="1">
        <f t="shared" si="1"/>
        <v>2.1518462279259742E+54</v>
      </c>
      <c r="K15" s="1">
        <f t="shared" si="1"/>
        <v>-2.580686982553667E+54</v>
      </c>
      <c r="L15" s="1">
        <f t="shared" si="1"/>
        <v>2.9452362733400801E+54</v>
      </c>
      <c r="M15" s="1">
        <f t="shared" si="1"/>
        <v>-3.2402422297330185E+54</v>
      </c>
      <c r="N15" s="1">
        <f t="shared" si="1"/>
        <v>3.4636173792481254E+54</v>
      </c>
      <c r="O15" s="1">
        <f t="shared" si="1"/>
        <v>-3.6162782246599705E+54</v>
      </c>
      <c r="P15" s="1">
        <f t="shared" si="1"/>
        <v>3.7017916350422617E+54</v>
      </c>
      <c r="Q15" s="1">
        <f t="shared" si="1"/>
        <v>-3.7258681021869048E+54</v>
      </c>
      <c r="R15" s="1">
        <f t="shared" si="1"/>
        <v>3.6957528741449632E+54</v>
      </c>
      <c r="S15" s="1">
        <f t="shared" si="1"/>
        <v>-3.6195716503379218E+54</v>
      </c>
      <c r="T15" s="1">
        <f t="shared" si="1"/>
        <v>3.5056876462076266E+54</v>
      </c>
      <c r="U15" s="1">
        <f t="shared" si="1"/>
        <v>-3.3621217226598029E+54</v>
      </c>
      <c r="V15" s="1">
        <f t="shared" si="1"/>
        <v>3.1960777409738325E+54</v>
      </c>
      <c r="W15" s="1">
        <f t="shared" si="1"/>
        <v>-3.013602542049419E+54</v>
      </c>
      <c r="X15" s="1">
        <f t="shared" si="1"/>
        <v>2.8193953846550534E+54</v>
      </c>
      <c r="Y15" s="1">
        <f t="shared" si="1"/>
        <v>-2.6167668065159763E+54</v>
      </c>
      <c r="Z15" s="1">
        <f t="shared" si="1"/>
        <v>2.4077331111572012E+54</v>
      </c>
      <c r="AA15" s="1">
        <f t="shared" si="1"/>
        <v>-2.1932212426326078E+54</v>
      </c>
      <c r="AB15" s="1">
        <f t="shared" si="1"/>
        <v>1.9733505990158759E+54</v>
      </c>
      <c r="AC15" s="1">
        <f t="shared" si="1"/>
        <v>-1.74775390464244E+54</v>
      </c>
      <c r="AD15" s="1">
        <f t="shared" si="1"/>
        <v>1.5158987820258363E+54</v>
      </c>
      <c r="AE15" s="1">
        <f t="shared" si="1"/>
        <v>-1.2773749420655017E+54</v>
      </c>
      <c r="AF15" s="1">
        <f t="shared" si="1"/>
        <v>1.032118425421947E+54</v>
      </c>
      <c r="AG15" s="1">
        <f t="shared" si="1"/>
        <v>-7.8055329709342301E+53</v>
      </c>
      <c r="AH15" s="1">
        <f t="shared" si="1"/>
        <v>5.2364165653715163E+53</v>
      </c>
      <c r="AI15" s="1">
        <f t="shared" si="1"/>
        <v>-2.6284371991433289E+53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72D8-5E95-4926-BA13-E835AE1D6A25}">
  <dimension ref="B3:AJ21"/>
  <sheetViews>
    <sheetView tabSelected="1" workbookViewId="0">
      <selection activeCell="J8" sqref="J8"/>
    </sheetView>
  </sheetViews>
  <sheetFormatPr defaultRowHeight="14.4" x14ac:dyDescent="0.3"/>
  <cols>
    <col min="6" max="6" width="11.66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6">
        <f>C3/30</f>
        <v>3.3333333333333335E-3</v>
      </c>
    </row>
    <row r="5" spans="2:36" x14ac:dyDescent="0.3">
      <c r="B5" s="2" t="s">
        <v>2</v>
      </c>
      <c r="C5" s="3">
        <f>'Явная схема'!C5</f>
        <v>2</v>
      </c>
    </row>
    <row r="6" spans="2:36" x14ac:dyDescent="0.3">
      <c r="B6" s="2" t="s">
        <v>3</v>
      </c>
      <c r="C6" s="2">
        <v>30</v>
      </c>
      <c r="D6">
        <v>31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279.55752989731042</v>
      </c>
      <c r="H13" s="1">
        <v>259.29889046602335</v>
      </c>
      <c r="I13" s="1">
        <v>239.40410986884763</v>
      </c>
      <c r="J13" s="1">
        <v>220.04576678522898</v>
      </c>
      <c r="K13" s="1">
        <v>201.38564406568588</v>
      </c>
      <c r="L13" s="1">
        <v>183.5718081464583</v>
      </c>
      <c r="M13" s="1">
        <v>166.73621160257449</v>
      </c>
      <c r="N13" s="1">
        <v>150.99288304614095</v>
      </c>
      <c r="O13" s="1">
        <v>136.4367327542555</v>
      </c>
      <c r="P13" s="1">
        <v>123.1429668237964</v>
      </c>
      <c r="Q13" s="1">
        <v>111.1670700282445</v>
      </c>
      <c r="R13" s="1">
        <v>100.54529022151938</v>
      </c>
      <c r="S13" s="1">
        <v>91.295536827634308</v>
      </c>
      <c r="T13" s="1">
        <v>83.418593689092589</v>
      </c>
      <c r="U13" s="1">
        <v>76.899542578917305</v>
      </c>
      <c r="V13" s="1">
        <v>71.709297542613797</v>
      </c>
      <c r="W13" s="1">
        <v>67.806160831357658</v>
      </c>
      <c r="X13" s="1">
        <v>65.137326941606716</v>
      </c>
      <c r="Y13" s="1">
        <v>63.64028031560126</v>
      </c>
      <c r="Z13" s="1">
        <v>63.244052601247191</v>
      </c>
      <c r="AA13" s="1">
        <v>63.870325116564032</v>
      </c>
      <c r="AB13" s="1">
        <v>65.434379653323418</v>
      </c>
      <c r="AC13" s="1">
        <v>67.845914698909652</v>
      </c>
      <c r="AD13" s="1">
        <v>71.009753726953477</v>
      </c>
      <c r="AE13" s="1">
        <v>74.82647707944372</v>
      </c>
      <c r="AF13" s="1">
        <v>79.193009304974012</v>
      </c>
      <c r="AG13" s="1">
        <v>84.003190244189966</v>
      </c>
      <c r="AH13" s="1">
        <v>89.148351635848968</v>
      </c>
      <c r="AI13" s="1">
        <v>94.51791276503323</v>
      </c>
      <c r="AJ13" s="1">
        <f>C13</f>
        <v>100</v>
      </c>
    </row>
    <row r="15" spans="2:36" x14ac:dyDescent="0.3">
      <c r="E15" t="s">
        <v>9</v>
      </c>
      <c r="G15" s="1">
        <f t="shared" ref="G15:AH15" si="1">G19*H15+G20</f>
        <v>279.9631683450034</v>
      </c>
      <c r="H15" s="1">
        <f t="shared" si="1"/>
        <v>260.10211335067373</v>
      </c>
      <c r="I15" s="1">
        <f t="shared" si="1"/>
        <v>240.58912160635924</v>
      </c>
      <c r="J15" s="1">
        <f t="shared" si="1"/>
        <v>221.58963494829982</v>
      </c>
      <c r="K15" s="1">
        <f t="shared" si="1"/>
        <v>203.25915782757113</v>
      </c>
      <c r="L15" s="1">
        <f t="shared" si="1"/>
        <v>185.74053667032604</v>
      </c>
      <c r="M15" s="1">
        <f t="shared" si="1"/>
        <v>169.16169787342363</v>
      </c>
      <c r="N15" s="1">
        <f t="shared" si="1"/>
        <v>153.63390312722254</v>
      </c>
      <c r="O15" s="1">
        <f t="shared" si="1"/>
        <v>139.25055041615684</v>
      </c>
      <c r="P15" s="1">
        <f t="shared" si="1"/>
        <v>126.08651869191505</v>
      </c>
      <c r="Q15" s="1">
        <f t="shared" si="1"/>
        <v>114.19802611052467</v>
      </c>
      <c r="R15" s="1">
        <f t="shared" si="1"/>
        <v>103.62294783145566</v>
      </c>
      <c r="S15" s="1">
        <f t="shared" si="1"/>
        <v>94.381521183359041</v>
      </c>
      <c r="T15" s="1">
        <f t="shared" si="1"/>
        <v>86.477354422743161</v>
      </c>
      <c r="U15" s="1">
        <f t="shared" si="1"/>
        <v>79.898650646709171</v>
      </c>
      <c r="V15" s="1">
        <f t="shared" si="1"/>
        <v>74.619560366718332</v>
      </c>
      <c r="W15" s="1">
        <f t="shared" si="1"/>
        <v>70.60158397717278</v>
      </c>
      <c r="X15" s="1">
        <f t="shared" si="1"/>
        <v>67.794957617480435</v>
      </c>
      <c r="Y15" s="1">
        <f t="shared" si="1"/>
        <v>66.139971217333397</v>
      </c>
      <c r="Z15" s="1">
        <f t="shared" si="1"/>
        <v>65.568184207936952</v>
      </c>
      <c r="AA15" s="1">
        <f t="shared" si="1"/>
        <v>66.003520894772734</v>
      </c>
      <c r="AB15" s="1">
        <f t="shared" si="1"/>
        <v>67.3632424188323</v>
      </c>
      <c r="AC15" s="1">
        <f t="shared" si="1"/>
        <v>69.558804474612373</v>
      </c>
      <c r="AD15" s="1">
        <f t="shared" si="1"/>
        <v>72.496618766530275</v>
      </c>
      <c r="AE15" s="1">
        <f t="shared" si="1"/>
        <v>76.078741242264769</v>
      </c>
      <c r="AF15" s="1">
        <f t="shared" si="1"/>
        <v>80.203511521888373</v>
      </c>
      <c r="AG15" s="1">
        <f t="shared" si="1"/>
        <v>84.766166095508225</v>
      </c>
      <c r="AH15" s="1">
        <f t="shared" si="1"/>
        <v>89.659443538032662</v>
      </c>
      <c r="AI15" s="1">
        <f>AI19*AJ15+AI20</f>
        <v>94.774194138170031</v>
      </c>
      <c r="AJ15" s="1">
        <f>AJ13</f>
        <v>100</v>
      </c>
    </row>
    <row r="17" spans="2:35" x14ac:dyDescent="0.3">
      <c r="B17" t="s">
        <v>12</v>
      </c>
      <c r="C17">
        <f>C10/(C4^2)</f>
        <v>4139999.9999999991</v>
      </c>
      <c r="E17" t="s">
        <v>10</v>
      </c>
      <c r="F17" t="s">
        <v>18</v>
      </c>
    </row>
    <row r="18" spans="2:35" x14ac:dyDescent="0.3">
      <c r="B18" t="s">
        <v>13</v>
      </c>
      <c r="C18">
        <f>(2*C10)/(C4^2)+((C9*C8)/C5)</f>
        <v>10073999.999999998</v>
      </c>
    </row>
    <row r="19" spans="2:35" x14ac:dyDescent="0.3">
      <c r="B19" t="s">
        <v>14</v>
      </c>
      <c r="C19">
        <f>C10/(C4^2)</f>
        <v>4139999.9999999991</v>
      </c>
      <c r="E19" t="s">
        <v>15</v>
      </c>
      <c r="F19">
        <v>0</v>
      </c>
      <c r="G19">
        <f>$C$17/($C$18-$C$19*F19)</f>
        <v>0.41095890410958902</v>
      </c>
      <c r="H19">
        <f t="shared" ref="H19:AI19" si="2">$C$17/($C$18-$C$19*G19)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3">
      <c r="E20" t="s">
        <v>16</v>
      </c>
      <c r="F20">
        <f>F13</f>
        <v>300</v>
      </c>
      <c r="G20">
        <f>(F20*$C$19-G21)/($C$18-$C$19*F19)</f>
        <v>173.0718888858224</v>
      </c>
      <c r="H20">
        <f t="shared" ref="H20:AH20" si="3">(G20*$C$19-H21)/($C$18-$C$19*G19)</f>
        <v>141.13842486164083</v>
      </c>
      <c r="I20">
        <f t="shared" si="3"/>
        <v>126.30079903610732</v>
      </c>
      <c r="J20">
        <f t="shared" si="3"/>
        <v>115.59120797332325</v>
      </c>
      <c r="K20">
        <f t="shared" si="3"/>
        <v>106.10636293130214</v>
      </c>
      <c r="L20">
        <f t="shared" si="3"/>
        <v>97.187037584134075</v>
      </c>
      <c r="M20">
        <f t="shared" si="3"/>
        <v>88.718739639069</v>
      </c>
      <c r="N20">
        <f t="shared" si="3"/>
        <v>80.717614238000422</v>
      </c>
      <c r="O20">
        <f t="shared" si="3"/>
        <v>73.226281332441218</v>
      </c>
      <c r="P20">
        <f t="shared" si="3"/>
        <v>66.287294393509242</v>
      </c>
      <c r="Q20">
        <f t="shared" si="3"/>
        <v>59.936319889907054</v>
      </c>
      <c r="R20">
        <f t="shared" si="3"/>
        <v>54.20045735131999</v>
      </c>
      <c r="S20">
        <f t="shared" si="3"/>
        <v>49.098010397570334</v>
      </c>
      <c r="T20">
        <f t="shared" si="3"/>
        <v>44.638753705745707</v>
      </c>
      <c r="U20">
        <f t="shared" si="3"/>
        <v>40.824423623687842</v>
      </c>
      <c r="V20">
        <f t="shared" si="3"/>
        <v>37.649330143374506</v>
      </c>
      <c r="W20">
        <f t="shared" si="3"/>
        <v>35.101032130360515</v>
      </c>
      <c r="X20">
        <f t="shared" si="3"/>
        <v>33.161032614647731</v>
      </c>
      <c r="Y20">
        <f t="shared" si="3"/>
        <v>31.805460138405891</v>
      </c>
      <c r="Z20">
        <f t="shared" si="3"/>
        <v>31.005710855798327</v>
      </c>
      <c r="AA20">
        <f t="shared" si="3"/>
        <v>30.729034936160541</v>
      </c>
      <c r="AB20">
        <f t="shared" si="3"/>
        <v>30.939059383164455</v>
      </c>
      <c r="AC20">
        <f t="shared" si="3"/>
        <v>31.596247018876991</v>
      </c>
      <c r="AD20">
        <f t="shared" si="3"/>
        <v>32.65829754949911</v>
      </c>
      <c r="AE20">
        <f t="shared" si="3"/>
        <v>34.080500964232179</v>
      </c>
      <c r="AF20">
        <f t="shared" si="3"/>
        <v>35.816055865969609</v>
      </c>
      <c r="AG20">
        <f t="shared" si="3"/>
        <v>37.816365750702133</v>
      </c>
      <c r="AH20">
        <f t="shared" si="3"/>
        <v>40.031324992555774</v>
      </c>
      <c r="AI20">
        <f>(AH20*$C$19-AI21)/($C$18-$C$19*AH19)</f>
        <v>42.409603759142669</v>
      </c>
    </row>
    <row r="21" spans="2:35" x14ac:dyDescent="0.3">
      <c r="E21" t="s">
        <v>17</v>
      </c>
      <c r="F21">
        <f>-(($C$9*$C$8)/$C$5)*F13</f>
        <v>-538200000</v>
      </c>
      <c r="G21">
        <f>-(($C$9*$C$8)/$C$5)*G13</f>
        <v>-501526208.63577491</v>
      </c>
      <c r="H21">
        <f>-(($C$9*$C$8)/$C$5)*H13</f>
        <v>-465182209.49604589</v>
      </c>
      <c r="I21">
        <f>-(($C$9*$C$8)/$C$5)*I13</f>
        <v>-429490973.10471267</v>
      </c>
      <c r="J21">
        <f t="shared" ref="J21:AI21" si="4">-(($C$9*$C$8)/$C$5)*J13</f>
        <v>-394762105.61270076</v>
      </c>
      <c r="K21">
        <f t="shared" si="4"/>
        <v>-361285845.45384049</v>
      </c>
      <c r="L21">
        <f t="shared" si="4"/>
        <v>-329327823.8147462</v>
      </c>
      <c r="M21">
        <f t="shared" si="4"/>
        <v>-299124763.61501861</v>
      </c>
      <c r="N21">
        <f t="shared" si="4"/>
        <v>-270881232.18477684</v>
      </c>
      <c r="O21">
        <f t="shared" si="4"/>
        <v>-244767498.56113437</v>
      </c>
      <c r="P21">
        <f t="shared" si="4"/>
        <v>-220918482.48189074</v>
      </c>
      <c r="Q21">
        <f t="shared" si="4"/>
        <v>-199433723.63067064</v>
      </c>
      <c r="R21">
        <f t="shared" si="4"/>
        <v>-180378250.65740576</v>
      </c>
      <c r="S21">
        <f t="shared" si="4"/>
        <v>-163784193.06877595</v>
      </c>
      <c r="T21">
        <f t="shared" si="4"/>
        <v>-149652957.07823211</v>
      </c>
      <c r="U21">
        <f t="shared" si="4"/>
        <v>-137957779.38657764</v>
      </c>
      <c r="V21">
        <f t="shared" si="4"/>
        <v>-128646479.79144914</v>
      </c>
      <c r="W21">
        <f t="shared" si="4"/>
        <v>-121644252.53145564</v>
      </c>
      <c r="X21">
        <f t="shared" si="4"/>
        <v>-116856364.53324245</v>
      </c>
      <c r="Y21">
        <f t="shared" si="4"/>
        <v>-114170662.88618866</v>
      </c>
      <c r="Z21">
        <f t="shared" si="4"/>
        <v>-113459830.36663745</v>
      </c>
      <c r="AA21">
        <f t="shared" si="4"/>
        <v>-114583363.25911587</v>
      </c>
      <c r="AB21">
        <f t="shared" si="4"/>
        <v>-117389277.09806222</v>
      </c>
      <c r="AC21">
        <f t="shared" si="4"/>
        <v>-121715570.96984391</v>
      </c>
      <c r="AD21">
        <f t="shared" si="4"/>
        <v>-127391498.18615454</v>
      </c>
      <c r="AE21">
        <f t="shared" si="4"/>
        <v>-134238699.88052204</v>
      </c>
      <c r="AF21">
        <f t="shared" si="4"/>
        <v>-142072258.69312337</v>
      </c>
      <c r="AG21">
        <f t="shared" si="4"/>
        <v>-150701723.29807681</v>
      </c>
      <c r="AH21">
        <f t="shared" si="4"/>
        <v>-159932142.83471304</v>
      </c>
      <c r="AI21">
        <f t="shared" si="4"/>
        <v>-169565135.50046962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 21</dc:creator>
  <cp:lastModifiedBy>Dude 21</cp:lastModifiedBy>
  <dcterms:created xsi:type="dcterms:W3CDTF">2021-09-15T09:42:45Z</dcterms:created>
  <dcterms:modified xsi:type="dcterms:W3CDTF">2021-10-14T19:21:53Z</dcterms:modified>
</cp:coreProperties>
</file>